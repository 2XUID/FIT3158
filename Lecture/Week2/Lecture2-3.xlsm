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ad.monash.edu\home\User081\phlee\Documents\2018\FIT3158\Lecture\Week 2\"/>
    </mc:Choice>
  </mc:AlternateContent>
  <bookViews>
    <workbookView xWindow="360" yWindow="108" windowWidth="11232" windowHeight="6696" firstSheet="1" activeTab="2"/>
  </bookViews>
  <sheets>
    <sheet name="Module1" sheetId="1" state="veryHidden" r:id=""/>
    <sheet name="Investment Report" sheetId="2" r:id="rId1"/>
    <sheet name="Investment Report (Soln)" sheetId="3" r:id="rId2"/>
  </sheets>
  <definedNames>
    <definedName name="solver_adj" localSheetId="2" hidden="1">'Investment Report (Soln)'!$C$6:$C$11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2</definedName>
    <definedName name="solver_eng" localSheetId="2" hidden="1">2</definedName>
    <definedName name="solver_est" localSheetId="1" hidden="1">1</definedName>
    <definedName name="solver_est" localSheetId="2" hidden="1">1</definedName>
    <definedName name="solver_ibd" localSheetId="1" hidden="1">2</definedName>
    <definedName name="solver_ibd" localSheetId="2" hidden="1">2</definedName>
    <definedName name="solver_itr" localSheetId="1" hidden="1">1000</definedName>
    <definedName name="solver_itr" localSheetId="2" hidden="1">1000</definedName>
    <definedName name="solver_lhs1" localSheetId="1" hidden="1">'Investment Report'!$C$12</definedName>
    <definedName name="solver_lhs1" localSheetId="2" hidden="1">'Investment Report (Soln)'!$C$12</definedName>
    <definedName name="solver_lhs2" localSheetId="1" hidden="1">'Investment Report'!$C$6:$C$11</definedName>
    <definedName name="solver_lhs2" localSheetId="2" hidden="1">'Investment Report (Soln)'!$C$6:$C$11</definedName>
    <definedName name="solver_lhs3" localSheetId="1" hidden="1">'Investment Report'!$C$6:$C$11</definedName>
    <definedName name="solver_lhs3" localSheetId="2" hidden="1">'Investment Report (Soln)'!$C$6:$C$11</definedName>
    <definedName name="solver_lhs4" localSheetId="1" hidden="1">'Investment Report'!$G$12</definedName>
    <definedName name="solver_lhs4" localSheetId="2" hidden="1">'Investment Report (Soln)'!$G$12</definedName>
    <definedName name="solver_lhs5" localSheetId="1" hidden="1">'Investment Report'!$I$12</definedName>
    <definedName name="solver_lhs5" localSheetId="2" hidden="1">'Investment Report (Soln)'!$I$12</definedName>
    <definedName name="solver_lin" localSheetId="1" hidden="1">1</definedName>
    <definedName name="solver_lin" localSheetId="2" hidden="1">1</definedName>
    <definedName name="solver_lva" localSheetId="1" hidden="1">2</definedName>
    <definedName name="solver_lva" localSheetId="2" hidden="1">2</definedName>
    <definedName name="solver_mip" localSheetId="1" hidden="1">1000</definedName>
    <definedName name="solver_mip" localSheetId="2" hidden="1">1000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2" hidden="1">2</definedName>
    <definedName name="solver_neg" localSheetId="1" hidden="1">2</definedName>
    <definedName name="solver_neg" localSheetId="2" hidden="1">2</definedName>
    <definedName name="solver_nod" localSheetId="1" hidden="1">1000</definedName>
    <definedName name="solver_nod" localSheetId="2" hidden="1">1000</definedName>
    <definedName name="solver_num" localSheetId="1" hidden="1">0</definedName>
    <definedName name="solver_num" localSheetId="2" hidden="1">5</definedName>
    <definedName name="solver_nwt" localSheetId="1" hidden="1">1</definedName>
    <definedName name="solver_nwt" localSheetId="2" hidden="1">1</definedName>
    <definedName name="solver_ofx" localSheetId="1" hidden="1">2</definedName>
    <definedName name="solver_ofx" localSheetId="2" hidden="1">2</definedName>
    <definedName name="solver_opt" localSheetId="2" hidden="1">'Investment Report (Soln)'!$E$12</definedName>
    <definedName name="solver_piv" localSheetId="1" hidden="1">0.000001</definedName>
    <definedName name="solver_piv" localSheetId="2" hidden="1">0.000001</definedName>
    <definedName name="solver_pre" localSheetId="1" hidden="1">0.00000001</definedName>
    <definedName name="solver_pre" localSheetId="2" hidden="1">0.00000001</definedName>
    <definedName name="solver_pro" localSheetId="1" hidden="1">2</definedName>
    <definedName name="solver_pro" localSheetId="2" hidden="1">2</definedName>
    <definedName name="solver_rbv" localSheetId="1" hidden="1">1</definedName>
    <definedName name="solver_rbv" localSheetId="2" hidden="1">1</definedName>
    <definedName name="solver_red" localSheetId="1" hidden="1">0.000001</definedName>
    <definedName name="solver_red" localSheetId="2" hidden="1">0.000001</definedName>
    <definedName name="solver_rel1" localSheetId="1" hidden="1">2</definedName>
    <definedName name="solver_rel1" localSheetId="2" hidden="1">2</definedName>
    <definedName name="solver_rel2" localSheetId="1" hidden="1">1</definedName>
    <definedName name="solver_rel2" localSheetId="2" hidden="1">3</definedName>
    <definedName name="solver_rel3" localSheetId="1" hidden="1">3</definedName>
    <definedName name="solver_rel3" localSheetId="2" hidden="1">1</definedName>
    <definedName name="solver_rel4" localSheetId="1" hidden="1">3</definedName>
    <definedName name="solver_rel4" localSheetId="2" hidden="1">3</definedName>
    <definedName name="solver_rel5" localSheetId="1" hidden="1">1</definedName>
    <definedName name="solver_rel5" localSheetId="2" hidden="1">1</definedName>
    <definedName name="solver_reo" localSheetId="1" hidden="1">2</definedName>
    <definedName name="solver_reo" localSheetId="2" hidden="1">2</definedName>
    <definedName name="solver_rep" localSheetId="1" hidden="1">2</definedName>
    <definedName name="solver_rep" localSheetId="2" hidden="1">2</definedName>
    <definedName name="solver_rhs1" localSheetId="1" hidden="1">'Investment Report'!$C$13</definedName>
    <definedName name="solver_rhs1" localSheetId="2" hidden="1">'Investment Report (Soln)'!$C$13</definedName>
    <definedName name="solver_rhs2" localSheetId="1" hidden="1">'Investment Report'!$D$6:$D$11</definedName>
    <definedName name="solver_rhs2" localSheetId="2" hidden="1">0</definedName>
    <definedName name="solver_rhs3" localSheetId="1" hidden="1">0</definedName>
    <definedName name="solver_rhs3" localSheetId="2" hidden="1">'Investment Report (Soln)'!$D$6:$D$11</definedName>
    <definedName name="solver_rhs4" localSheetId="1" hidden="1">'Investment Report'!$G$13</definedName>
    <definedName name="solver_rhs4" localSheetId="2" hidden="1">'Investment Report (Soln)'!$G$13</definedName>
    <definedName name="solver_rhs5" localSheetId="1" hidden="1">'Investment Report'!$I$13</definedName>
    <definedName name="solver_rhs5" localSheetId="2" hidden="1">'Investment Report (Soln)'!$I$13</definedName>
    <definedName name="solver_rlx" localSheetId="1" hidden="1">2</definedName>
    <definedName name="solver_rlx" localSheetId="2" hidden="1">2</definedName>
    <definedName name="solver_rsd" localSheetId="2" hidden="1">0</definedName>
    <definedName name="solver_scl" localSheetId="1" hidden="1">2</definedName>
    <definedName name="solver_scl" localSheetId="2" hidden="1">2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std" localSheetId="1" hidden="1">0</definedName>
    <definedName name="solver_std" localSheetId="2" hidden="1">0</definedName>
    <definedName name="solver_tim" localSheetId="1" hidden="1">100</definedName>
    <definedName name="solver_tim" localSheetId="2" hidden="1">100</definedName>
    <definedName name="solver_tol" localSheetId="1" hidden="1">0.05</definedName>
    <definedName name="solver_tol" localSheetId="2" hidden="1">0.05</definedName>
    <definedName name="solver_typ" localSheetId="1" hidden="1">1</definedName>
    <definedName name="solver_typ" localSheetId="2" hidden="1">1</definedName>
    <definedName name="solver_val" localSheetId="1" hidden="1">0</definedName>
    <definedName name="solver_val" localSheetId="2" hidden="1">0</definedName>
    <definedName name="solver_ver" localSheetId="1" hidden="1">2</definedName>
    <definedName name="solver_ver" localSheetId="2" hidden="1">3</definedName>
  </definedNames>
  <calcPr calcId="162913"/>
</workbook>
</file>

<file path=xl/calcChain.xml><?xml version="1.0" encoding="utf-8"?>
<calcChain xmlns="http://schemas.openxmlformats.org/spreadsheetml/2006/main">
  <c r="D6" i="3" l="1"/>
  <c r="D7" i="3"/>
  <c r="D8" i="3"/>
  <c r="D9" i="3"/>
  <c r="D10" i="3"/>
  <c r="D11" i="3"/>
  <c r="C12" i="3"/>
  <c r="E12" i="3"/>
  <c r="G12" i="3"/>
  <c r="I12" i="3"/>
  <c r="G13" i="3"/>
  <c r="I13" i="3"/>
  <c r="I12" i="2"/>
  <c r="G12" i="2"/>
  <c r="E12" i="2"/>
  <c r="I13" i="2"/>
  <c r="G13" i="2"/>
  <c r="D7" i="2"/>
  <c r="D8" i="2"/>
  <c r="D9" i="2"/>
  <c r="D10" i="2"/>
  <c r="D11" i="2"/>
  <c r="D6" i="2"/>
  <c r="C12" i="2"/>
</calcChain>
</file>

<file path=xl/comments1.xml><?xml version="1.0" encoding="utf-8"?>
<comments xmlns="http://schemas.openxmlformats.org/spreadsheetml/2006/main">
  <authors>
    <author>A satisfied Microsoft Office user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8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9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10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1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2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  <comment ref="G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I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comments2.xml><?xml version="1.0" encoding="utf-8"?>
<comments xmlns="http://schemas.openxmlformats.org/spreadsheetml/2006/main">
  <authors>
    <author>A satisfied Microsoft Office user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8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9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10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1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2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  <comment ref="G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I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sharedStrings.xml><?xml version="1.0" encoding="utf-8"?>
<sst xmlns="http://schemas.openxmlformats.org/spreadsheetml/2006/main" count="62" uniqueCount="26">
  <si>
    <t>Amount</t>
  </si>
  <si>
    <t>Maximum</t>
  </si>
  <si>
    <t>Years to</t>
  </si>
  <si>
    <t>10+ years?</t>
  </si>
  <si>
    <t>Bond</t>
  </si>
  <si>
    <t>Invested</t>
  </si>
  <si>
    <t>Return</t>
  </si>
  <si>
    <t>Maturity</t>
  </si>
  <si>
    <t>(1-yes, 0-no)</t>
  </si>
  <si>
    <t>Rating</t>
  </si>
  <si>
    <t>ACME Chemical</t>
  </si>
  <si>
    <t>1-Excellent</t>
  </si>
  <si>
    <t>DynaStar</t>
  </si>
  <si>
    <t>3-Good</t>
  </si>
  <si>
    <t>Eagle Vision</t>
  </si>
  <si>
    <t>4-Fair</t>
  </si>
  <si>
    <t>MicroModeling</t>
  </si>
  <si>
    <t>OptiPro</t>
  </si>
  <si>
    <t>Sabre Systems</t>
  </si>
  <si>
    <t>2-Very Good</t>
  </si>
  <si>
    <t>Total Invested:</t>
  </si>
  <si>
    <t>Total:</t>
  </si>
  <si>
    <t>Total Available:</t>
  </si>
  <si>
    <t>Required:</t>
  </si>
  <si>
    <t>Allowed:</t>
  </si>
  <si>
    <t>Risky?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</si>
</sst>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2" formatCode="0.0%"/>
    <numFmt numFmtId="173" formatCode="&quot;$&quot;#,##0.00"/>
    <numFmt numFmtId="175" formatCode="&quot;$&quot;#,##0"/>
  </numFmts>
  <fonts count="9" x14ac:knownFonts="1">
    <font>
      <sz val="10"/>
      <name val="Arial"/>
    </font>
    <font>
      <b/>
      <sz val="10"/>
      <name val="Arial"/>
    </font>
    <font>
      <sz val="10"/>
      <name val="Arial"/>
      <family val="2"/>
    </font>
    <font>
      <sz val="8"/>
      <color indexed="81"/>
      <name val="Tahoma"/>
      <family val="2"/>
    </font>
    <font>
      <b/>
      <sz val="10"/>
      <color indexed="17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172" fontId="1" fillId="0" borderId="1" xfId="1" applyNumberFormat="1" applyFont="1" applyBorder="1" applyAlignment="1">
      <alignment horizontal="center"/>
    </xf>
    <xf numFmtId="173" fontId="0" fillId="0" borderId="0" xfId="0" applyNumberFormat="1"/>
    <xf numFmtId="175" fontId="0" fillId="0" borderId="0" xfId="0" applyNumberFormat="1" applyAlignment="1">
      <alignment horizontal="center"/>
    </xf>
    <xf numFmtId="10" fontId="1" fillId="0" borderId="0" xfId="1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Continuous"/>
    </xf>
    <xf numFmtId="0" fontId="1" fillId="0" borderId="2" xfId="0" applyFont="1" applyBorder="1" applyAlignment="1">
      <alignment horizontal="center"/>
    </xf>
    <xf numFmtId="175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Continuous"/>
    </xf>
    <xf numFmtId="175" fontId="4" fillId="2" borderId="3" xfId="0" applyNumberFormat="1" applyFont="1" applyFill="1" applyBorder="1" applyAlignment="1">
      <alignment horizontal="center"/>
    </xf>
    <xf numFmtId="175" fontId="5" fillId="2" borderId="4" xfId="0" applyNumberFormat="1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175" fontId="6" fillId="2" borderId="5" xfId="0" applyNumberFormat="1" applyFont="1" applyFill="1" applyBorder="1" applyAlignment="1">
      <alignment horizontal="center"/>
    </xf>
    <xf numFmtId="175" fontId="4" fillId="2" borderId="6" xfId="0" applyNumberFormat="1" applyFont="1" applyFill="1" applyBorder="1" applyAlignment="1">
      <alignment horizontal="center"/>
    </xf>
    <xf numFmtId="175" fontId="0" fillId="0" borderId="1" xfId="0" applyNumberFormat="1" applyBorder="1" applyAlignment="1">
      <alignment horizontal="center"/>
    </xf>
    <xf numFmtId="10" fontId="1" fillId="0" borderId="1" xfId="1" applyNumberFormat="1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601980</xdr:colOff>
      <xdr:row>0</xdr:row>
      <xdr:rowOff>45720</xdr:rowOff>
    </xdr:from>
    <xdr:to>
      <xdr:col>6</xdr:col>
      <xdr:colOff>190500</xdr:colOff>
      <xdr:row>2</xdr:row>
      <xdr:rowOff>68580</xdr:rowOff>
    </xdr:to>
    <xdr:sp macro="[0]!Toggle" textlink="">
      <xdr:nvSpPr>
        <xdr:cNvPr id="1025" name="Text 1"/>
        <xdr:cNvSpPr>
          <a:spLocks noChangeArrowheads="1"/>
        </xdr:cNvSpPr>
      </xdr:nvSpPr>
      <xdr:spPr bwMode="auto">
        <a:xfrm>
          <a:off x="1950720" y="45720"/>
          <a:ext cx="2339340" cy="35814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A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Retirement Planning Services, Inc.</a:t>
          </a:r>
        </a:p>
      </xdr:txBody>
    </xdr:sp>
    <xdr:clientData/>
  </xdr:twoCellAnchor>
  <xdr:twoCellAnchor>
    <xdr:from>
      <xdr:col>5</xdr:col>
      <xdr:colOff>281940</xdr:colOff>
      <xdr:row>14</xdr:row>
      <xdr:rowOff>129540</xdr:rowOff>
    </xdr:from>
    <xdr:to>
      <xdr:col>7</xdr:col>
      <xdr:colOff>784860</xdr:colOff>
      <xdr:row>21</xdr:row>
      <xdr:rowOff>0</xdr:rowOff>
    </xdr:to>
    <xdr:sp macro="" textlink="">
      <xdr:nvSpPr>
        <xdr:cNvPr id="1026" name="Note" hidden="1"/>
        <xdr:cNvSpPr txBox="1">
          <a:spLocks noChangeArrowheads="1"/>
        </xdr:cNvSpPr>
      </xdr:nvSpPr>
      <xdr:spPr bwMode="auto">
        <a:xfrm>
          <a:off x="3703320" y="2506980"/>
          <a:ext cx="1927860" cy="10439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3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Maximize:    E12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By changing: C6:C11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Subject to:  C12=C13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             G12&gt;=G13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             I12&lt;=I13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             C6:C11&gt;=0   </a:t>
          </a:r>
        </a:p>
      </xdr:txBody>
    </xdr:sp>
    <xdr:clientData/>
  </xdr:twoCellAnchor>
  <xdr:twoCellAnchor editAs="oneCell">
    <xdr:from>
      <xdr:col>0</xdr:col>
      <xdr:colOff>106680</xdr:colOff>
      <xdr:row>13</xdr:row>
      <xdr:rowOff>60960</xdr:rowOff>
    </xdr:from>
    <xdr:to>
      <xdr:col>6</xdr:col>
      <xdr:colOff>617220</xdr:colOff>
      <xdr:row>34</xdr:row>
      <xdr:rowOff>22860</xdr:rowOff>
    </xdr:to>
    <xdr:pic>
      <xdr:nvPicPr>
        <xdr:cNvPr id="1038" name="Picture 1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" y="2270760"/>
          <a:ext cx="4610100" cy="348234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601980</xdr:colOff>
      <xdr:row>0</xdr:row>
      <xdr:rowOff>45720</xdr:rowOff>
    </xdr:from>
    <xdr:to>
      <xdr:col>6</xdr:col>
      <xdr:colOff>190500</xdr:colOff>
      <xdr:row>2</xdr:row>
      <xdr:rowOff>68580</xdr:rowOff>
    </xdr:to>
    <xdr:sp macro="[0]!Toggle" textlink="">
      <xdr:nvSpPr>
        <xdr:cNvPr id="2049" name="Text 1"/>
        <xdr:cNvSpPr>
          <a:spLocks noChangeArrowheads="1"/>
        </xdr:cNvSpPr>
      </xdr:nvSpPr>
      <xdr:spPr bwMode="auto">
        <a:xfrm>
          <a:off x="1950720" y="45720"/>
          <a:ext cx="2339340" cy="35814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A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Retirement Planning Services, Inc.</a:t>
          </a:r>
        </a:p>
      </xdr:txBody>
    </xdr:sp>
    <xdr:clientData/>
  </xdr:twoCellAnchor>
  <xdr:twoCellAnchor>
    <xdr:from>
      <xdr:col>5</xdr:col>
      <xdr:colOff>281940</xdr:colOff>
      <xdr:row>14</xdr:row>
      <xdr:rowOff>129540</xdr:rowOff>
    </xdr:from>
    <xdr:to>
      <xdr:col>7</xdr:col>
      <xdr:colOff>784860</xdr:colOff>
      <xdr:row>21</xdr:row>
      <xdr:rowOff>0</xdr:rowOff>
    </xdr:to>
    <xdr:sp macro="" textlink="">
      <xdr:nvSpPr>
        <xdr:cNvPr id="2050" name="Note" hidden="1"/>
        <xdr:cNvSpPr txBox="1">
          <a:spLocks noChangeArrowheads="1"/>
        </xdr:cNvSpPr>
      </xdr:nvSpPr>
      <xdr:spPr bwMode="auto">
        <a:xfrm>
          <a:off x="3703320" y="2506980"/>
          <a:ext cx="1927860" cy="10439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3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Maximize:    E12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By changing: C6:C11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Subject to:  C12=C13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             G12&gt;=G13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             I12&lt;=I13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             C6:C11&gt;=0   </a:t>
          </a:r>
        </a:p>
      </xdr:txBody>
    </xdr:sp>
    <xdr:clientData/>
  </xdr:twoCellAnchor>
  <xdr:twoCellAnchor editAs="oneCell">
    <xdr:from>
      <xdr:col>0</xdr:col>
      <xdr:colOff>129540</xdr:colOff>
      <xdr:row>13</xdr:row>
      <xdr:rowOff>144780</xdr:rowOff>
    </xdr:from>
    <xdr:to>
      <xdr:col>6</xdr:col>
      <xdr:colOff>640080</xdr:colOff>
      <xdr:row>34</xdr:row>
      <xdr:rowOff>106680</xdr:rowOff>
    </xdr:to>
    <xdr:pic>
      <xdr:nvPicPr>
        <xdr:cNvPr id="2062" name="Picture 1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" y="2354580"/>
          <a:ext cx="4610100" cy="348234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7</xdr:col>
      <xdr:colOff>434340</xdr:colOff>
      <xdr:row>13</xdr:row>
      <xdr:rowOff>144780</xdr:rowOff>
    </xdr:from>
    <xdr:to>
      <xdr:col>15</xdr:col>
      <xdr:colOff>380305</xdr:colOff>
      <xdr:row>44</xdr:row>
      <xdr:rowOff>157464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80660" y="2354580"/>
          <a:ext cx="5561905" cy="52095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I14"/>
  <sheetViews>
    <sheetView workbookViewId="0">
      <selection activeCell="L36" sqref="L36"/>
    </sheetView>
  </sheetViews>
  <sheetFormatPr defaultRowHeight="13.2" x14ac:dyDescent="0.25"/>
  <cols>
    <col min="1" max="1" width="4.33203125" customWidth="1"/>
    <col min="2" max="2" width="15.33203125" style="1" customWidth="1"/>
    <col min="3" max="3" width="11.109375" customWidth="1"/>
    <col min="4" max="4" width="10" customWidth="1"/>
    <col min="5" max="5" width="9.109375" style="1" customWidth="1"/>
    <col min="6" max="6" width="9.88671875" style="1" customWidth="1"/>
    <col min="7" max="7" width="10.88671875" customWidth="1"/>
    <col min="8" max="8" width="12.109375" style="1" customWidth="1"/>
    <col min="9" max="9" width="15.44140625" customWidth="1"/>
    <col min="13" max="13" width="9.88671875" customWidth="1"/>
  </cols>
  <sheetData>
    <row r="2" spans="2:9" s="23" customFormat="1" x14ac:dyDescent="0.25">
      <c r="B2" s="22"/>
      <c r="E2" s="24"/>
      <c r="F2" s="22"/>
      <c r="H2" s="22"/>
    </row>
    <row r="3" spans="2:9" x14ac:dyDescent="0.25">
      <c r="I3" s="2"/>
    </row>
    <row r="4" spans="2:9" x14ac:dyDescent="0.25">
      <c r="C4" s="2" t="s">
        <v>0</v>
      </c>
      <c r="D4" s="3" t="s">
        <v>1</v>
      </c>
      <c r="F4" s="2" t="s">
        <v>2</v>
      </c>
      <c r="G4" s="2" t="s">
        <v>3</v>
      </c>
      <c r="H4" s="10"/>
      <c r="I4" s="2" t="s">
        <v>25</v>
      </c>
    </row>
    <row r="5" spans="2:9" ht="13.8" thickBot="1" x14ac:dyDescent="0.3">
      <c r="B5" s="4" t="s">
        <v>4</v>
      </c>
      <c r="C5" s="4" t="s">
        <v>5</v>
      </c>
      <c r="D5" s="5">
        <v>0.25</v>
      </c>
      <c r="E5" s="4" t="s">
        <v>6</v>
      </c>
      <c r="F5" s="4" t="s">
        <v>7</v>
      </c>
      <c r="G5" s="4" t="s">
        <v>8</v>
      </c>
      <c r="H5" s="13" t="s">
        <v>9</v>
      </c>
      <c r="I5" s="4" t="s">
        <v>8</v>
      </c>
    </row>
    <row r="6" spans="2:9" x14ac:dyDescent="0.25">
      <c r="B6" s="2" t="s">
        <v>10</v>
      </c>
      <c r="C6" s="14">
        <v>0</v>
      </c>
      <c r="D6" s="7">
        <f t="shared" ref="D6:D11" si="0">$D$5*$C$13</f>
        <v>187500</v>
      </c>
      <c r="E6" s="8">
        <v>8.6499999999999994E-2</v>
      </c>
      <c r="F6" s="2">
        <v>11</v>
      </c>
      <c r="G6" s="2">
        <v>1</v>
      </c>
      <c r="H6" s="9" t="s">
        <v>11</v>
      </c>
      <c r="I6" s="2">
        <v>0</v>
      </c>
    </row>
    <row r="7" spans="2:9" x14ac:dyDescent="0.25">
      <c r="B7" s="2" t="s">
        <v>12</v>
      </c>
      <c r="C7" s="14">
        <v>0</v>
      </c>
      <c r="D7" s="7">
        <f t="shared" si="0"/>
        <v>187500</v>
      </c>
      <c r="E7" s="8">
        <v>9.5000000000000001E-2</v>
      </c>
      <c r="F7" s="2">
        <v>10</v>
      </c>
      <c r="G7" s="2">
        <v>1</v>
      </c>
      <c r="H7" s="9" t="s">
        <v>13</v>
      </c>
      <c r="I7" s="2">
        <v>1</v>
      </c>
    </row>
    <row r="8" spans="2:9" x14ac:dyDescent="0.25">
      <c r="B8" s="2" t="s">
        <v>14</v>
      </c>
      <c r="C8" s="14">
        <v>0</v>
      </c>
      <c r="D8" s="7">
        <f t="shared" si="0"/>
        <v>187500</v>
      </c>
      <c r="E8" s="8">
        <v>0.1</v>
      </c>
      <c r="F8" s="2">
        <v>6</v>
      </c>
      <c r="G8" s="2">
        <v>0</v>
      </c>
      <c r="H8" s="9" t="s">
        <v>15</v>
      </c>
      <c r="I8" s="2">
        <v>1</v>
      </c>
    </row>
    <row r="9" spans="2:9" x14ac:dyDescent="0.25">
      <c r="B9" s="2" t="s">
        <v>16</v>
      </c>
      <c r="C9" s="14">
        <v>0</v>
      </c>
      <c r="D9" s="7">
        <f t="shared" si="0"/>
        <v>187500</v>
      </c>
      <c r="E9" s="8">
        <v>8.7499999999999994E-2</v>
      </c>
      <c r="F9" s="2">
        <v>10</v>
      </c>
      <c r="G9" s="2">
        <v>1</v>
      </c>
      <c r="H9" s="9" t="s">
        <v>11</v>
      </c>
      <c r="I9" s="2">
        <v>0</v>
      </c>
    </row>
    <row r="10" spans="2:9" x14ac:dyDescent="0.25">
      <c r="B10" s="2" t="s">
        <v>17</v>
      </c>
      <c r="C10" s="14">
        <v>0</v>
      </c>
      <c r="D10" s="7">
        <f t="shared" si="0"/>
        <v>187500</v>
      </c>
      <c r="E10" s="8">
        <v>9.2499999999999999E-2</v>
      </c>
      <c r="F10" s="2">
        <v>7</v>
      </c>
      <c r="G10" s="2">
        <v>0</v>
      </c>
      <c r="H10" s="9" t="s">
        <v>13</v>
      </c>
      <c r="I10" s="2">
        <v>1</v>
      </c>
    </row>
    <row r="11" spans="2:9" ht="13.8" thickBot="1" x14ac:dyDescent="0.3">
      <c r="B11" s="2" t="s">
        <v>18</v>
      </c>
      <c r="C11" s="18">
        <v>0</v>
      </c>
      <c r="D11" s="19">
        <f t="shared" si="0"/>
        <v>187500</v>
      </c>
      <c r="E11" s="20">
        <v>0.09</v>
      </c>
      <c r="F11" s="4">
        <v>13</v>
      </c>
      <c r="G11" s="4">
        <v>1</v>
      </c>
      <c r="H11" s="21" t="s">
        <v>19</v>
      </c>
      <c r="I11" s="4">
        <v>0</v>
      </c>
    </row>
    <row r="12" spans="2:9" ht="13.8" thickBot="1" x14ac:dyDescent="0.3">
      <c r="B12" s="11" t="s">
        <v>20</v>
      </c>
      <c r="C12" s="15">
        <f>SUM(C6:C11)</f>
        <v>0</v>
      </c>
      <c r="D12" s="16" t="s">
        <v>21</v>
      </c>
      <c r="E12" s="17">
        <f>SUMPRODUCT(E6:E11,$C$6:$C$11)</f>
        <v>0</v>
      </c>
      <c r="F12" s="16" t="s">
        <v>21</v>
      </c>
      <c r="G12" s="15">
        <f>SUMPRODUCT(G6:G11,$C$6:$C$11)</f>
        <v>0</v>
      </c>
      <c r="H12" s="16" t="s">
        <v>21</v>
      </c>
      <c r="I12" s="15">
        <f>SUMPRODUCT(I6:I11,$C$6:$C$11)</f>
        <v>0</v>
      </c>
    </row>
    <row r="13" spans="2:9" ht="13.8" thickTop="1" x14ac:dyDescent="0.25">
      <c r="B13" s="2" t="s">
        <v>22</v>
      </c>
      <c r="C13" s="12">
        <v>750000</v>
      </c>
      <c r="F13" s="2" t="s">
        <v>23</v>
      </c>
      <c r="G13" s="12">
        <f>C13/2</f>
        <v>375000</v>
      </c>
      <c r="H13" s="2" t="s">
        <v>24</v>
      </c>
      <c r="I13" s="12">
        <f>C13*0.35</f>
        <v>262500</v>
      </c>
    </row>
    <row r="14" spans="2:9" x14ac:dyDescent="0.25">
      <c r="I14" s="6"/>
    </row>
  </sheetData>
  <phoneticPr fontId="8" type="noConversion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I14"/>
  <sheetViews>
    <sheetView tabSelected="1" workbookViewId="0">
      <selection activeCell="R28" sqref="R28"/>
    </sheetView>
  </sheetViews>
  <sheetFormatPr defaultRowHeight="13.2" x14ac:dyDescent="0.25"/>
  <cols>
    <col min="1" max="1" width="4.33203125" customWidth="1"/>
    <col min="2" max="2" width="15.33203125" style="1" customWidth="1"/>
    <col min="3" max="3" width="11.109375" customWidth="1"/>
    <col min="4" max="4" width="10" customWidth="1"/>
    <col min="5" max="5" width="9.109375" style="1" customWidth="1"/>
    <col min="6" max="6" width="9.88671875" style="1" customWidth="1"/>
    <col min="7" max="7" width="10.88671875" customWidth="1"/>
    <col min="8" max="8" width="12.109375" style="1" customWidth="1"/>
    <col min="9" max="9" width="15.44140625" customWidth="1"/>
    <col min="13" max="13" width="9.88671875" customWidth="1"/>
  </cols>
  <sheetData>
    <row r="2" spans="2:9" s="23" customFormat="1" x14ac:dyDescent="0.25">
      <c r="B2" s="22"/>
      <c r="E2" s="24"/>
      <c r="F2" s="22"/>
      <c r="H2" s="22"/>
    </row>
    <row r="3" spans="2:9" x14ac:dyDescent="0.25">
      <c r="I3" s="2"/>
    </row>
    <row r="4" spans="2:9" x14ac:dyDescent="0.25">
      <c r="C4" s="2" t="s">
        <v>0</v>
      </c>
      <c r="D4" s="3" t="s">
        <v>1</v>
      </c>
      <c r="F4" s="2" t="s">
        <v>2</v>
      </c>
      <c r="G4" s="2" t="s">
        <v>3</v>
      </c>
      <c r="H4" s="10"/>
      <c r="I4" s="2" t="s">
        <v>25</v>
      </c>
    </row>
    <row r="5" spans="2:9" ht="13.8" thickBot="1" x14ac:dyDescent="0.3">
      <c r="B5" s="4" t="s">
        <v>4</v>
      </c>
      <c r="C5" s="4" t="s">
        <v>5</v>
      </c>
      <c r="D5" s="5">
        <v>0.25</v>
      </c>
      <c r="E5" s="4" t="s">
        <v>6</v>
      </c>
      <c r="F5" s="4" t="s">
        <v>7</v>
      </c>
      <c r="G5" s="4" t="s">
        <v>8</v>
      </c>
      <c r="H5" s="13" t="s">
        <v>9</v>
      </c>
      <c r="I5" s="4" t="s">
        <v>8</v>
      </c>
    </row>
    <row r="6" spans="2:9" x14ac:dyDescent="0.25">
      <c r="B6" s="2" t="s">
        <v>10</v>
      </c>
      <c r="C6" s="14">
        <v>112500</v>
      </c>
      <c r="D6" s="7">
        <f t="shared" ref="D6:D11" si="0">$D$5*$C$13</f>
        <v>187500</v>
      </c>
      <c r="E6" s="8">
        <v>8.6499999999999994E-2</v>
      </c>
      <c r="F6" s="2">
        <v>11</v>
      </c>
      <c r="G6" s="2">
        <v>1</v>
      </c>
      <c r="H6" s="9" t="s">
        <v>11</v>
      </c>
      <c r="I6" s="2">
        <v>0</v>
      </c>
    </row>
    <row r="7" spans="2:9" x14ac:dyDescent="0.25">
      <c r="B7" s="2" t="s">
        <v>12</v>
      </c>
      <c r="C7" s="14">
        <v>75000</v>
      </c>
      <c r="D7" s="7">
        <f t="shared" si="0"/>
        <v>187500</v>
      </c>
      <c r="E7" s="8">
        <v>9.5000000000000001E-2</v>
      </c>
      <c r="F7" s="2">
        <v>10</v>
      </c>
      <c r="G7" s="2">
        <v>1</v>
      </c>
      <c r="H7" s="9" t="s">
        <v>13</v>
      </c>
      <c r="I7" s="2">
        <v>1</v>
      </c>
    </row>
    <row r="8" spans="2:9" x14ac:dyDescent="0.25">
      <c r="B8" s="2" t="s">
        <v>14</v>
      </c>
      <c r="C8" s="14">
        <v>187500</v>
      </c>
      <c r="D8" s="7">
        <f t="shared" si="0"/>
        <v>187500</v>
      </c>
      <c r="E8" s="8">
        <v>0.1</v>
      </c>
      <c r="F8" s="2">
        <v>6</v>
      </c>
      <c r="G8" s="2">
        <v>0</v>
      </c>
      <c r="H8" s="9" t="s">
        <v>15</v>
      </c>
      <c r="I8" s="2">
        <v>1</v>
      </c>
    </row>
    <row r="9" spans="2:9" x14ac:dyDescent="0.25">
      <c r="B9" s="2" t="s">
        <v>16</v>
      </c>
      <c r="C9" s="14">
        <v>187500</v>
      </c>
      <c r="D9" s="7">
        <f t="shared" si="0"/>
        <v>187500</v>
      </c>
      <c r="E9" s="8">
        <v>8.7499999999999994E-2</v>
      </c>
      <c r="F9" s="2">
        <v>10</v>
      </c>
      <c r="G9" s="2">
        <v>1</v>
      </c>
      <c r="H9" s="9" t="s">
        <v>11</v>
      </c>
      <c r="I9" s="2">
        <v>0</v>
      </c>
    </row>
    <row r="10" spans="2:9" x14ac:dyDescent="0.25">
      <c r="B10" s="2" t="s">
        <v>17</v>
      </c>
      <c r="C10" s="14">
        <v>0</v>
      </c>
      <c r="D10" s="7">
        <f t="shared" si="0"/>
        <v>187500</v>
      </c>
      <c r="E10" s="8">
        <v>9.2499999999999999E-2</v>
      </c>
      <c r="F10" s="2">
        <v>7</v>
      </c>
      <c r="G10" s="2">
        <v>0</v>
      </c>
      <c r="H10" s="9" t="s">
        <v>13</v>
      </c>
      <c r="I10" s="2">
        <v>1</v>
      </c>
    </row>
    <row r="11" spans="2:9" ht="13.8" thickBot="1" x14ac:dyDescent="0.3">
      <c r="B11" s="2" t="s">
        <v>18</v>
      </c>
      <c r="C11" s="18">
        <v>187500</v>
      </c>
      <c r="D11" s="19">
        <f t="shared" si="0"/>
        <v>187500</v>
      </c>
      <c r="E11" s="20">
        <v>0.09</v>
      </c>
      <c r="F11" s="4">
        <v>13</v>
      </c>
      <c r="G11" s="4">
        <v>1</v>
      </c>
      <c r="H11" s="21" t="s">
        <v>19</v>
      </c>
      <c r="I11" s="4">
        <v>0</v>
      </c>
    </row>
    <row r="12" spans="2:9" ht="13.8" thickBot="1" x14ac:dyDescent="0.3">
      <c r="B12" s="11" t="s">
        <v>20</v>
      </c>
      <c r="C12" s="15">
        <f>SUM(C6:C11)</f>
        <v>750000</v>
      </c>
      <c r="D12" s="16" t="s">
        <v>21</v>
      </c>
      <c r="E12" s="17">
        <f>SUMPRODUCT(E6:E11,$C$6:$C$11)</f>
        <v>68887.5</v>
      </c>
      <c r="F12" s="16" t="s">
        <v>21</v>
      </c>
      <c r="G12" s="15">
        <f>SUMPRODUCT(G6:G11,$C$6:$C$11)</f>
        <v>562500</v>
      </c>
      <c r="H12" s="16" t="s">
        <v>21</v>
      </c>
      <c r="I12" s="15">
        <f>SUMPRODUCT(I6:I11,$C$6:$C$11)</f>
        <v>262500</v>
      </c>
    </row>
    <row r="13" spans="2:9" ht="13.8" thickTop="1" x14ac:dyDescent="0.25">
      <c r="B13" s="2" t="s">
        <v>22</v>
      </c>
      <c r="C13" s="12">
        <v>750000</v>
      </c>
      <c r="F13" s="2" t="s">
        <v>23</v>
      </c>
      <c r="G13" s="12">
        <f>C13/2</f>
        <v>375000</v>
      </c>
      <c r="H13" s="2" t="s">
        <v>24</v>
      </c>
      <c r="I13" s="12">
        <f>C13*0.35</f>
        <v>262500</v>
      </c>
    </row>
    <row r="14" spans="2:9" x14ac:dyDescent="0.25">
      <c r="I14" s="6"/>
    </row>
  </sheetData>
  <phoneticPr fontId="8" type="noConversion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Investment Report</vt:lpstr>
      <vt:lpstr>Investment Report (Soln)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Ragsdale</dc:creator>
  <cp:lastModifiedBy>Poh Lim</cp:lastModifiedBy>
  <dcterms:created xsi:type="dcterms:W3CDTF">1996-09-24T02:40:19Z</dcterms:created>
  <dcterms:modified xsi:type="dcterms:W3CDTF">2018-07-27T12:09:48Z</dcterms:modified>
</cp:coreProperties>
</file>