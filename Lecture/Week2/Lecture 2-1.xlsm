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ad.monash.edu\home\User081\phlee\Documents\2018\FIT3158\Lecture\Week 2\"/>
    </mc:Choice>
  </mc:AlternateContent>
  <bookViews>
    <workbookView xWindow="-12" yWindow="-12" windowWidth="9636" windowHeight="5196" firstSheet="1" activeTab="2"/>
  </bookViews>
  <sheets>
    <sheet name="Module1" sheetId="1" state="veryHidden" r:id=""/>
    <sheet name="Production Report" sheetId="2" r:id="rId1"/>
    <sheet name="Production Report (Solution)" sheetId="3" r:id="rId2"/>
  </sheets>
  <definedNames>
    <definedName name="_Regression_Int" localSheetId="1" hidden="1">1</definedName>
    <definedName name="_Regression_Int" localSheetId="2" hidden="1">1</definedName>
    <definedName name="solver_adj" localSheetId="2" hidden="1">'Production Report (Solution)'!$B$5:$C$5</definedName>
    <definedName name="solver_cvg" localSheetId="1" hidden="1">0.0001</definedName>
    <definedName name="solver_cvg" localSheetId="2" hidden="1">0.0001</definedName>
    <definedName name="solver_drv" localSheetId="1" hidden="1">1</definedName>
    <definedName name="solver_drv" localSheetId="2" hidden="1">1</definedName>
    <definedName name="solver_eng" localSheetId="1" hidden="1">2</definedName>
    <definedName name="solver_eng" localSheetId="2" hidden="1">2</definedName>
    <definedName name="solver_est" localSheetId="1" hidden="1">1</definedName>
    <definedName name="solver_est" localSheetId="2" hidden="1">1</definedName>
    <definedName name="solver_ibd" localSheetId="1" hidden="1">2</definedName>
    <definedName name="solver_ibd" localSheetId="2" hidden="1">2</definedName>
    <definedName name="solver_itr" localSheetId="1" hidden="1">1000</definedName>
    <definedName name="solver_itr" localSheetId="2" hidden="1">1000</definedName>
    <definedName name="solver_lhs1" localSheetId="1" hidden="1">'Production Report'!$B$5:$C$5</definedName>
    <definedName name="solver_lhs1" localSheetId="2" hidden="1">'Production Report (Solution)'!$D$9:$D$11</definedName>
    <definedName name="solver_lhs2" localSheetId="1" hidden="1">'Production Report'!$D$9:$D$11</definedName>
    <definedName name="solver_lhs2" localSheetId="2" hidden="1">'Production Report (Solution)'!$B$5:$C$5</definedName>
    <definedName name="solver_lin" localSheetId="1" hidden="1">1</definedName>
    <definedName name="solver_lin" localSheetId="2" hidden="1">1</definedName>
    <definedName name="solver_loc" localSheetId="1" hidden="1">1</definedName>
    <definedName name="solver_loc" localSheetId="2" hidden="1">1</definedName>
    <definedName name="solver_lva" localSheetId="1" hidden="1">2</definedName>
    <definedName name="solver_lva" localSheetId="2" hidden="1">2</definedName>
    <definedName name="solver_mip" localSheetId="1" hidden="1">1000</definedName>
    <definedName name="solver_mip" localSheetId="2" hidden="1">1000</definedName>
    <definedName name="solver_mni" localSheetId="1" hidden="1">30</definedName>
    <definedName name="solver_mni" localSheetId="2" hidden="1">30</definedName>
    <definedName name="solver_mrt" localSheetId="1" hidden="1">0.075</definedName>
    <definedName name="solver_mrt" localSheetId="2" hidden="1">0.075</definedName>
    <definedName name="solver_msl" localSheetId="2" hidden="1">2</definedName>
    <definedName name="solver_neg" localSheetId="1" hidden="1">2</definedName>
    <definedName name="solver_neg" localSheetId="2" hidden="1">1</definedName>
    <definedName name="solver_nod" localSheetId="1" hidden="1">1000</definedName>
    <definedName name="solver_nod" localSheetId="2" hidden="1">1000</definedName>
    <definedName name="solver_num" localSheetId="1" hidden="1">0</definedName>
    <definedName name="solver_num" localSheetId="2" hidden="1">2</definedName>
    <definedName name="solver_nwt" localSheetId="1" hidden="1">1</definedName>
    <definedName name="solver_nwt" localSheetId="2" hidden="1">1</definedName>
    <definedName name="solver_ofx" localSheetId="1" hidden="1">2</definedName>
    <definedName name="solver_ofx" localSheetId="2" hidden="1">2</definedName>
    <definedName name="solver_opt" localSheetId="2" hidden="1">'Production Report (Solution)'!$D$6</definedName>
    <definedName name="solver_piv" localSheetId="1" hidden="1">0.000001</definedName>
    <definedName name="solver_piv" localSheetId="2" hidden="1">0.000001</definedName>
    <definedName name="solver_pre" localSheetId="1" hidden="1">0.00000001</definedName>
    <definedName name="solver_pre" localSheetId="2" hidden="1">0.00000001</definedName>
    <definedName name="solver_pro" localSheetId="1" hidden="1">2</definedName>
    <definedName name="solver_pro" localSheetId="2" hidden="1">2</definedName>
    <definedName name="solver_rbv" localSheetId="1" hidden="1">1</definedName>
    <definedName name="solver_rbv" localSheetId="2" hidden="1">1</definedName>
    <definedName name="solver_red" localSheetId="1" hidden="1">0.000001</definedName>
    <definedName name="solver_red" localSheetId="2" hidden="1">0.000001</definedName>
    <definedName name="solver_rel1" localSheetId="1" hidden="1">3</definedName>
    <definedName name="solver_rel1" localSheetId="2" hidden="1">1</definedName>
    <definedName name="solver_rel2" localSheetId="1" hidden="1">1</definedName>
    <definedName name="solver_rel2" localSheetId="2" hidden="1">3</definedName>
    <definedName name="solver_reo" localSheetId="1" hidden="1">2</definedName>
    <definedName name="solver_reo" localSheetId="2" hidden="1">2</definedName>
    <definedName name="solver_rep" localSheetId="1" hidden="1">2</definedName>
    <definedName name="solver_rep" localSheetId="2" hidden="1">2</definedName>
    <definedName name="solver_rhs1" localSheetId="1" hidden="1">0</definedName>
    <definedName name="solver_rhs1" localSheetId="2" hidden="1">'Production Report (Solution)'!$E$9:$E$11</definedName>
    <definedName name="solver_rhs2" localSheetId="1" hidden="1">'Production Report'!$E$9:$E$11</definedName>
    <definedName name="solver_rhs2" localSheetId="2" hidden="1">0</definedName>
    <definedName name="solver_rlx" localSheetId="1" hidden="1">2</definedName>
    <definedName name="solver_rlx" localSheetId="2" hidden="1">2</definedName>
    <definedName name="solver_rsd" localSheetId="2" hidden="1">0</definedName>
    <definedName name="solver_scl" localSheetId="1" hidden="1">2</definedName>
    <definedName name="solver_scl" localSheetId="2" hidden="1">2</definedName>
    <definedName name="solver_sho" localSheetId="1" hidden="1">2</definedName>
    <definedName name="solver_sho" localSheetId="2" hidden="1">2</definedName>
    <definedName name="solver_ssz" localSheetId="1" hidden="1">100</definedName>
    <definedName name="solver_ssz" localSheetId="2" hidden="1">100</definedName>
    <definedName name="solver_std" localSheetId="1" hidden="1">0</definedName>
    <definedName name="solver_std" localSheetId="2" hidden="1">0</definedName>
    <definedName name="solver_tim" localSheetId="1" hidden="1">100</definedName>
    <definedName name="solver_tim" localSheetId="2" hidden="1">100</definedName>
    <definedName name="solver_tol" localSheetId="1" hidden="1">0.05</definedName>
    <definedName name="solver_tol" localSheetId="2" hidden="1">0.05</definedName>
    <definedName name="solver_typ" localSheetId="1" hidden="1">1</definedName>
    <definedName name="solver_typ" localSheetId="2" hidden="1">1</definedName>
    <definedName name="solver_val" localSheetId="1" hidden="1">0</definedName>
    <definedName name="solver_val" localSheetId="2" hidden="1">0</definedName>
    <definedName name="solver_ver" localSheetId="1" hidden="1">2</definedName>
    <definedName name="solver_ver" localSheetId="2" hidden="1">3</definedName>
  </definedNames>
  <calcPr calcId="162913"/>
</workbook>
</file>

<file path=xl/calcChain.xml><?xml version="1.0" encoding="utf-8"?>
<calcChain xmlns="http://schemas.openxmlformats.org/spreadsheetml/2006/main">
  <c r="D11" i="3" l="1"/>
  <c r="D10" i="3"/>
  <c r="D9" i="3"/>
  <c r="D6" i="3"/>
  <c r="D10" i="2"/>
  <c r="D11" i="2"/>
  <c r="D9" i="2"/>
  <c r="D6" i="2"/>
</calcChain>
</file>

<file path=xl/comments1.xml><?xml version="1.0" encoding="utf-8"?>
<comments xmlns="http://schemas.openxmlformats.org/spreadsheetml/2006/main">
  <authors>
    <author>A satisfied Microsoft Office user</author>
  </authors>
  <commentList>
    <comment ref="B5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C5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Set cell</t>
        </r>
      </text>
    </comment>
    <comment ref="D9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D10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D11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</commentList>
</comments>
</file>

<file path=xl/comments2.xml><?xml version="1.0" encoding="utf-8"?>
<comments xmlns="http://schemas.openxmlformats.org/spreadsheetml/2006/main">
  <authors>
    <author>A satisfied Microsoft Office user</author>
  </authors>
  <commentList>
    <comment ref="B5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C5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Set cell</t>
        </r>
      </text>
    </comment>
    <comment ref="D9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D10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D11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</commentList>
</comments>
</file>

<file path=xl/sharedStrings.xml><?xml version="1.0" encoding="utf-8"?>
<sst xmlns="http://schemas.openxmlformats.org/spreadsheetml/2006/main" count="30" uniqueCount="14">
  <si>
    <t/>
  </si>
  <si>
    <t>Aqua-Spas</t>
  </si>
  <si>
    <t>Hydro-Luxes</t>
  </si>
  <si>
    <t>Used</t>
  </si>
  <si>
    <t>Available</t>
  </si>
  <si>
    <t>Unit Profits</t>
  </si>
  <si>
    <t>Constraints</t>
  </si>
  <si>
    <t>Total Profit</t>
  </si>
  <si>
    <t>Number to Make</t>
  </si>
  <si>
    <t xml:space="preserve">   Pumps Req'd</t>
  </si>
  <si>
    <t xml:space="preserve">   Labor Req'd</t>
  </si>
  <si>
    <t xml:space="preserve">   Tubing Req'd</t>
  </si>
  <si>
    <t>LHS</t>
  </si>
  <si>
    <t>RHS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</si>
</sst>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&quot;$&quot;#,##0_);\(&quot;$&quot;#,##0\)"/>
    <numFmt numFmtId="165" formatCode="General_)"/>
    <numFmt numFmtId="166" formatCode="0_)"/>
  </numFmts>
  <fonts count="12" x14ac:knownFonts="1">
    <font>
      <sz val="10"/>
      <name val="Arial"/>
      <family val="2"/>
    </font>
    <font>
      <b/>
      <sz val="10"/>
      <name val="Arial"/>
    </font>
    <font>
      <sz val="10"/>
      <color indexed="12"/>
      <name val="Courier"/>
      <family val="3"/>
    </font>
    <font>
      <sz val="10"/>
      <name val="Arial"/>
      <family val="2"/>
    </font>
    <font>
      <b/>
      <sz val="10"/>
      <name val="Arial"/>
      <family val="2"/>
    </font>
    <font>
      <sz val="8"/>
      <color indexed="81"/>
      <name val="Tahoma"/>
      <family val="2"/>
    </font>
    <font>
      <b/>
      <sz val="10"/>
      <color indexed="12"/>
      <name val="Arial"/>
      <family val="2"/>
    </font>
    <font>
      <b/>
      <sz val="10"/>
      <color indexed="17"/>
      <name val="Arial"/>
      <family val="2"/>
    </font>
    <font>
      <b/>
      <sz val="10"/>
      <color indexed="10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</fills>
  <borders count="5">
    <border>
      <left/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165" fontId="0" fillId="0" borderId="0"/>
  </cellStyleXfs>
  <cellXfs count="21">
    <xf numFmtId="165" fontId="0" fillId="0" borderId="0" xfId="0"/>
    <xf numFmtId="165" fontId="2" fillId="0" borderId="0" xfId="0" applyNumberFormat="1" applyFont="1" applyProtection="1">
      <protection locked="0"/>
    </xf>
    <xf numFmtId="165" fontId="0" fillId="0" borderId="0" xfId="0" applyNumberFormat="1" applyProtection="1"/>
    <xf numFmtId="165" fontId="0" fillId="0" borderId="0" xfId="0" applyNumberFormat="1" applyAlignment="1" applyProtection="1">
      <alignment horizontal="left"/>
    </xf>
    <xf numFmtId="165" fontId="3" fillId="0" borderId="0" xfId="0" applyFont="1"/>
    <xf numFmtId="165" fontId="4" fillId="0" borderId="0" xfId="0" applyFont="1" applyAlignment="1" applyProtection="1">
      <alignment horizontal="center"/>
    </xf>
    <xf numFmtId="165" fontId="4" fillId="0" borderId="0" xfId="0" applyFont="1" applyAlignment="1" applyProtection="1">
      <alignment horizontal="left"/>
    </xf>
    <xf numFmtId="165" fontId="3" fillId="0" borderId="0" xfId="0" applyFont="1" applyAlignment="1">
      <alignment horizontal="center"/>
    </xf>
    <xf numFmtId="164" fontId="1" fillId="0" borderId="0" xfId="0" applyNumberFormat="1" applyFont="1" applyAlignment="1" applyProtection="1">
      <alignment horizontal="center"/>
    </xf>
    <xf numFmtId="165" fontId="1" fillId="0" borderId="0" xfId="0" applyFont="1" applyAlignment="1" applyProtection="1">
      <alignment horizontal="center"/>
    </xf>
    <xf numFmtId="37" fontId="1" fillId="0" borderId="0" xfId="0" applyNumberFormat="1" applyFont="1" applyAlignment="1" applyProtection="1">
      <alignment horizontal="center"/>
    </xf>
    <xf numFmtId="165" fontId="0" fillId="0" borderId="0" xfId="0" applyFill="1" applyBorder="1"/>
    <xf numFmtId="164" fontId="6" fillId="2" borderId="1" xfId="0" applyNumberFormat="1" applyFont="1" applyFill="1" applyBorder="1" applyAlignment="1" applyProtection="1">
      <alignment horizontal="center"/>
    </xf>
    <xf numFmtId="166" fontId="7" fillId="2" borderId="2" xfId="0" applyNumberFormat="1" applyFont="1" applyFill="1" applyBorder="1" applyAlignment="1" applyProtection="1">
      <alignment horizontal="center"/>
    </xf>
    <xf numFmtId="37" fontId="8" fillId="2" borderId="3" xfId="0" applyNumberFormat="1" applyFont="1" applyFill="1" applyBorder="1" applyAlignment="1" applyProtection="1">
      <alignment horizontal="center"/>
    </xf>
    <xf numFmtId="165" fontId="3" fillId="0" borderId="0" xfId="0" applyFont="1" applyFill="1" applyBorder="1" applyAlignment="1">
      <alignment horizontal="centerContinuous" vertical="center"/>
    </xf>
    <xf numFmtId="165" fontId="9" fillId="0" borderId="0" xfId="0" applyFont="1" applyFill="1" applyBorder="1" applyAlignment="1">
      <alignment horizontal="centerContinuous"/>
    </xf>
    <xf numFmtId="165" fontId="10" fillId="0" borderId="0" xfId="0" applyFont="1"/>
    <xf numFmtId="165" fontId="4" fillId="0" borderId="0" xfId="0" applyFont="1"/>
    <xf numFmtId="165" fontId="4" fillId="0" borderId="4" xfId="0" applyFont="1" applyBorder="1" applyAlignment="1">
      <alignment horizontal="center"/>
    </xf>
    <xf numFmtId="164" fontId="4" fillId="0" borderId="4" xfId="0" applyNumberFormat="1" applyFont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1051560</xdr:colOff>
      <xdr:row>0</xdr:row>
      <xdr:rowOff>95250</xdr:rowOff>
    </xdr:from>
    <xdr:to>
      <xdr:col>3</xdr:col>
      <xdr:colOff>114271</xdr:colOff>
      <xdr:row>2</xdr:row>
      <xdr:rowOff>76200</xdr:rowOff>
    </xdr:to>
    <xdr:sp macro="[0]!Toggle" textlink="">
      <xdr:nvSpPr>
        <xdr:cNvPr id="1026" name="Text 2"/>
        <xdr:cNvSpPr>
          <a:spLocks noChangeArrowheads="1"/>
        </xdr:cNvSpPr>
      </xdr:nvSpPr>
      <xdr:spPr bwMode="auto">
        <a:xfrm>
          <a:off x="1028700" y="95250"/>
          <a:ext cx="1933575" cy="333375"/>
        </a:xfrm>
        <a:prstGeom prst="roundRect">
          <a:avLst>
            <a:gd name="adj" fmla="val 16667"/>
          </a:avLst>
        </a:prstGeom>
        <a:solidFill>
          <a:srgbClr val="00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AU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Blue Ridge Hot Tubs</a:t>
          </a:r>
        </a:p>
      </xdr:txBody>
    </xdr:sp>
    <xdr:clientData/>
  </xdr:twoCellAnchor>
  <xdr:twoCellAnchor>
    <xdr:from>
      <xdr:col>0</xdr:col>
      <xdr:colOff>131445</xdr:colOff>
      <xdr:row>14</xdr:row>
      <xdr:rowOff>19050</xdr:rowOff>
    </xdr:from>
    <xdr:to>
      <xdr:col>2</xdr:col>
      <xdr:colOff>651506</xdr:colOff>
      <xdr:row>18</xdr:row>
      <xdr:rowOff>131477</xdr:rowOff>
    </xdr:to>
    <xdr:sp macro="" textlink="">
      <xdr:nvSpPr>
        <xdr:cNvPr id="1027" name="Note"/>
        <xdr:cNvSpPr txBox="1">
          <a:spLocks noChangeArrowheads="1"/>
        </xdr:cNvSpPr>
      </xdr:nvSpPr>
      <xdr:spPr bwMode="auto">
        <a:xfrm>
          <a:off x="123825" y="2362200"/>
          <a:ext cx="2486025" cy="752475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AU" sz="1000" b="1" i="0" u="none" strike="noStrike" baseline="0">
              <a:solidFill>
                <a:srgbClr val="000000"/>
              </a:solidFill>
              <a:latin typeface="Courier New"/>
              <a:cs typeface="Courier New"/>
            </a:rPr>
            <a:t>Maximize:    D6</a:t>
          </a:r>
        </a:p>
        <a:p>
          <a:pPr algn="l" rtl="0">
            <a:defRPr sz="1000"/>
          </a:pPr>
          <a:r>
            <a:rPr lang="en-AU" sz="1000" b="1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By changing: B5:C5</a:t>
          </a:r>
        </a:p>
        <a:p>
          <a:pPr algn="l" rtl="0">
            <a:defRPr sz="1000"/>
          </a:pPr>
          <a:r>
            <a:rPr lang="en-AU" sz="1000" b="1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Subject to:  D9:D11&lt;=E9:E11</a:t>
          </a:r>
        </a:p>
        <a:p>
          <a:pPr algn="l" rtl="0">
            <a:defRPr sz="1000"/>
          </a:pPr>
          <a:r>
            <a:rPr lang="en-AU" sz="1000" b="1" i="0" u="none" strike="noStrike" baseline="0">
              <a:solidFill>
                <a:srgbClr val="000000"/>
              </a:solidFill>
              <a:latin typeface="Courier New"/>
              <a:cs typeface="Courier New"/>
            </a:rPr>
            <a:t>             B5:C5&gt;=0</a:t>
          </a:r>
        </a:p>
      </xdr:txBody>
    </xdr:sp>
    <xdr:clientData/>
  </xdr:twoCellAnchor>
  <xdr:twoCellAnchor editAs="oneCell">
    <xdr:from>
      <xdr:col>1</xdr:col>
      <xdr:colOff>7620</xdr:colOff>
      <xdr:row>11</xdr:row>
      <xdr:rowOff>45720</xdr:rowOff>
    </xdr:from>
    <xdr:to>
      <xdr:col>5</xdr:col>
      <xdr:colOff>350520</xdr:colOff>
      <xdr:row>27</xdr:row>
      <xdr:rowOff>76200</xdr:rowOff>
    </xdr:to>
    <xdr:pic>
      <xdr:nvPicPr>
        <xdr:cNvPr id="1047" name="Picture 19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520" t="27089" r="16309" b="19812"/>
        <a:stretch>
          <a:fillRect/>
        </a:stretch>
      </xdr:blipFill>
      <xdr:spPr bwMode="auto">
        <a:xfrm>
          <a:off x="1150620" y="1950720"/>
          <a:ext cx="3581400" cy="27127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1051560</xdr:colOff>
      <xdr:row>0</xdr:row>
      <xdr:rowOff>95250</xdr:rowOff>
    </xdr:from>
    <xdr:to>
      <xdr:col>3</xdr:col>
      <xdr:colOff>114271</xdr:colOff>
      <xdr:row>2</xdr:row>
      <xdr:rowOff>76200</xdr:rowOff>
    </xdr:to>
    <xdr:sp macro="[0]!Toggle" textlink="">
      <xdr:nvSpPr>
        <xdr:cNvPr id="2" name="Text 2"/>
        <xdr:cNvSpPr>
          <a:spLocks noChangeArrowheads="1"/>
        </xdr:cNvSpPr>
      </xdr:nvSpPr>
      <xdr:spPr bwMode="auto">
        <a:xfrm>
          <a:off x="1028700" y="95250"/>
          <a:ext cx="1933575" cy="333375"/>
        </a:xfrm>
        <a:prstGeom prst="roundRect">
          <a:avLst>
            <a:gd name="adj" fmla="val 16667"/>
          </a:avLst>
        </a:prstGeom>
        <a:solidFill>
          <a:srgbClr val="00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AU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Blue Ridge Hot Tubs</a:t>
          </a:r>
        </a:p>
      </xdr:txBody>
    </xdr:sp>
    <xdr:clientData/>
  </xdr:twoCellAnchor>
  <xdr:twoCellAnchor>
    <xdr:from>
      <xdr:col>0</xdr:col>
      <xdr:colOff>131445</xdr:colOff>
      <xdr:row>14</xdr:row>
      <xdr:rowOff>19050</xdr:rowOff>
    </xdr:from>
    <xdr:to>
      <xdr:col>2</xdr:col>
      <xdr:colOff>651506</xdr:colOff>
      <xdr:row>18</xdr:row>
      <xdr:rowOff>131477</xdr:rowOff>
    </xdr:to>
    <xdr:sp macro="" textlink="">
      <xdr:nvSpPr>
        <xdr:cNvPr id="3" name="Note"/>
        <xdr:cNvSpPr txBox="1">
          <a:spLocks noChangeArrowheads="1"/>
        </xdr:cNvSpPr>
      </xdr:nvSpPr>
      <xdr:spPr bwMode="auto">
        <a:xfrm>
          <a:off x="123825" y="2362200"/>
          <a:ext cx="2486025" cy="752475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AU" sz="1000" b="1" i="0" u="none" strike="noStrike" baseline="0">
              <a:solidFill>
                <a:srgbClr val="000000"/>
              </a:solidFill>
              <a:latin typeface="Courier New"/>
              <a:cs typeface="Courier New"/>
            </a:rPr>
            <a:t>Maximize:    D6</a:t>
          </a:r>
        </a:p>
        <a:p>
          <a:pPr algn="l" rtl="0">
            <a:defRPr sz="1000"/>
          </a:pPr>
          <a:r>
            <a:rPr lang="en-AU" sz="1000" b="1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By changing: B5:C5</a:t>
          </a:r>
        </a:p>
        <a:p>
          <a:pPr algn="l" rtl="0">
            <a:defRPr sz="1000"/>
          </a:pPr>
          <a:r>
            <a:rPr lang="en-AU" sz="1000" b="1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Subject to:  D9:D11&lt;=E9:E11</a:t>
          </a:r>
        </a:p>
        <a:p>
          <a:pPr algn="l" rtl="0">
            <a:defRPr sz="1000"/>
          </a:pPr>
          <a:r>
            <a:rPr lang="en-AU" sz="1000" b="1" i="0" u="none" strike="noStrike" baseline="0">
              <a:solidFill>
                <a:srgbClr val="000000"/>
              </a:solidFill>
              <a:latin typeface="Courier New"/>
              <a:cs typeface="Courier New"/>
            </a:rPr>
            <a:t>             B5:C5&gt;=0</a:t>
          </a:r>
        </a:p>
      </xdr:txBody>
    </xdr:sp>
    <xdr:clientData/>
  </xdr:twoCellAnchor>
  <xdr:twoCellAnchor editAs="oneCell">
    <xdr:from>
      <xdr:col>1</xdr:col>
      <xdr:colOff>7620</xdr:colOff>
      <xdr:row>11</xdr:row>
      <xdr:rowOff>45720</xdr:rowOff>
    </xdr:from>
    <xdr:to>
      <xdr:col>5</xdr:col>
      <xdr:colOff>350520</xdr:colOff>
      <xdr:row>27</xdr:row>
      <xdr:rowOff>76200</xdr:rowOff>
    </xdr:to>
    <xdr:pic>
      <xdr:nvPicPr>
        <xdr:cNvPr id="3081" name="Picture 19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520" t="27089" r="16309" b="19812"/>
        <a:stretch>
          <a:fillRect/>
        </a:stretch>
      </xdr:blipFill>
      <xdr:spPr bwMode="auto">
        <a:xfrm>
          <a:off x="1150620" y="1950720"/>
          <a:ext cx="3581400" cy="27127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1"/>
  <dimension ref="A2:N17"/>
  <sheetViews>
    <sheetView zoomScale="120" workbookViewId="0">
      <selection activeCell="H17" sqref="H17"/>
    </sheetView>
  </sheetViews>
  <sheetFormatPr defaultColWidth="9.6640625" defaultRowHeight="13.2" x14ac:dyDescent="0.25"/>
  <cols>
    <col min="1" max="1" width="16.6640625" bestFit="1" customWidth="1"/>
    <col min="2" max="3" width="13" customWidth="1"/>
    <col min="4" max="4" width="11.6640625" bestFit="1" customWidth="1"/>
    <col min="5" max="5" width="9.5546875" bestFit="1" customWidth="1"/>
  </cols>
  <sheetData>
    <row r="2" spans="1:14" ht="15" x14ac:dyDescent="0.25">
      <c r="A2" s="4"/>
      <c r="B2" s="15"/>
      <c r="C2" s="16"/>
      <c r="D2" s="17"/>
      <c r="E2" s="4"/>
      <c r="F2" s="1"/>
      <c r="G2" s="1"/>
      <c r="H2" s="1"/>
    </row>
    <row r="3" spans="1:14" x14ac:dyDescent="0.25">
      <c r="A3" s="4"/>
      <c r="B3" s="4"/>
      <c r="C3" s="4"/>
      <c r="D3" s="4"/>
      <c r="E3" s="4"/>
      <c r="F3" s="2"/>
      <c r="G3" s="3" t="s">
        <v>0</v>
      </c>
      <c r="H3" s="2"/>
      <c r="I3" s="2"/>
    </row>
    <row r="4" spans="1:14" x14ac:dyDescent="0.25">
      <c r="A4" s="4"/>
      <c r="B4" s="5" t="s">
        <v>1</v>
      </c>
      <c r="C4" s="5" t="s">
        <v>2</v>
      </c>
      <c r="D4" s="4"/>
      <c r="E4" s="4"/>
      <c r="F4" s="2"/>
      <c r="G4" s="3" t="s">
        <v>0</v>
      </c>
      <c r="H4" s="2"/>
      <c r="I4" s="1"/>
      <c r="J4" s="1"/>
      <c r="K4" s="1"/>
      <c r="L4" s="1"/>
      <c r="M4" s="1"/>
      <c r="N4" s="1"/>
    </row>
    <row r="5" spans="1:14" ht="13.8" thickBot="1" x14ac:dyDescent="0.3">
      <c r="A5" s="18" t="s">
        <v>8</v>
      </c>
      <c r="B5" s="13">
        <v>0</v>
      </c>
      <c r="C5" s="13">
        <v>0</v>
      </c>
      <c r="D5" s="5" t="s">
        <v>7</v>
      </c>
      <c r="E5" s="4"/>
      <c r="G5" s="1"/>
      <c r="H5" s="1"/>
      <c r="I5" s="2"/>
    </row>
    <row r="6" spans="1:14" ht="14.4" thickTop="1" thickBot="1" x14ac:dyDescent="0.3">
      <c r="A6" s="6" t="s">
        <v>5</v>
      </c>
      <c r="B6" s="8">
        <v>350</v>
      </c>
      <c r="C6" s="8">
        <v>300</v>
      </c>
      <c r="D6" s="12">
        <f>SUMPRODUCT($B$5:$C$5,B6:C6)</f>
        <v>0</v>
      </c>
      <c r="E6" s="4"/>
      <c r="F6" s="2"/>
      <c r="G6" s="2"/>
      <c r="H6" s="2"/>
      <c r="I6" s="1"/>
    </row>
    <row r="7" spans="1:14" ht="14.4" thickTop="1" thickBot="1" x14ac:dyDescent="0.3">
      <c r="B7" s="7"/>
      <c r="C7" s="7"/>
      <c r="D7" s="19" t="s">
        <v>12</v>
      </c>
      <c r="E7" s="20" t="s">
        <v>13</v>
      </c>
      <c r="F7" s="2"/>
      <c r="G7" s="2"/>
      <c r="H7" s="2"/>
      <c r="I7" s="1"/>
    </row>
    <row r="8" spans="1:14" x14ac:dyDescent="0.25">
      <c r="A8" s="6" t="s">
        <v>6</v>
      </c>
      <c r="B8" s="7"/>
      <c r="C8" s="7"/>
      <c r="D8" s="5" t="s">
        <v>3</v>
      </c>
      <c r="E8" s="5" t="s">
        <v>4</v>
      </c>
      <c r="F8" s="2"/>
      <c r="G8" s="2"/>
      <c r="H8" s="2"/>
    </row>
    <row r="9" spans="1:14" x14ac:dyDescent="0.25">
      <c r="A9" s="6" t="s">
        <v>9</v>
      </c>
      <c r="B9" s="9">
        <v>1</v>
      </c>
      <c r="C9" s="9">
        <v>1</v>
      </c>
      <c r="D9" s="14">
        <f>SUMPRODUCT($B$5:$C$5,B9:C9)</f>
        <v>0</v>
      </c>
      <c r="E9" s="10">
        <v>200</v>
      </c>
      <c r="F9" s="1"/>
      <c r="G9" s="1"/>
      <c r="H9" s="1"/>
    </row>
    <row r="10" spans="1:14" x14ac:dyDescent="0.25">
      <c r="A10" s="6" t="s">
        <v>10</v>
      </c>
      <c r="B10" s="9">
        <v>9</v>
      </c>
      <c r="C10" s="9">
        <v>6</v>
      </c>
      <c r="D10" s="14">
        <f>SUMPRODUCT($B$5:$C$5,B10:C10)</f>
        <v>0</v>
      </c>
      <c r="E10" s="9">
        <v>1566</v>
      </c>
    </row>
    <row r="11" spans="1:14" x14ac:dyDescent="0.25">
      <c r="A11" s="6" t="s">
        <v>11</v>
      </c>
      <c r="B11" s="9">
        <v>12</v>
      </c>
      <c r="C11" s="9">
        <v>16</v>
      </c>
      <c r="D11" s="14">
        <f>SUMPRODUCT($B$5:$C$5,B11:C11)</f>
        <v>0</v>
      </c>
      <c r="E11" s="9">
        <v>2880</v>
      </c>
    </row>
    <row r="12" spans="1:14" x14ac:dyDescent="0.25">
      <c r="B12" s="4"/>
      <c r="C12" s="4"/>
      <c r="D12" s="4"/>
      <c r="E12" s="4"/>
    </row>
    <row r="13" spans="1:14" x14ac:dyDescent="0.25">
      <c r="B13" s="1"/>
      <c r="C13" s="1"/>
      <c r="D13" s="1"/>
      <c r="F13" s="11"/>
    </row>
    <row r="14" spans="1:14" x14ac:dyDescent="0.25">
      <c r="B14" s="2"/>
      <c r="C14" s="2"/>
      <c r="D14" s="2"/>
      <c r="F14" s="11"/>
    </row>
    <row r="15" spans="1:14" x14ac:dyDescent="0.25">
      <c r="B15" s="2"/>
      <c r="C15" s="2"/>
      <c r="D15" s="2"/>
      <c r="F15" s="11"/>
    </row>
    <row r="16" spans="1:14" x14ac:dyDescent="0.25">
      <c r="B16" s="2"/>
      <c r="C16" s="2"/>
      <c r="D16" s="2"/>
      <c r="F16" s="11"/>
    </row>
    <row r="17" spans="2:4" x14ac:dyDescent="0.25">
      <c r="B17" s="1"/>
      <c r="C17" s="1"/>
      <c r="D17" s="1"/>
    </row>
  </sheetData>
  <phoneticPr fontId="11" type="noConversion"/>
  <printOptions gridLines="1" gridLinesSet="0"/>
  <pageMargins left="0.75" right="0.75" top="1" bottom="1" header="0.5" footer="0.5"/>
  <pageSetup orientation="portrait" horizontalDpi="4294967292" verticalDpi="300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2"/>
  <dimension ref="A2:N17"/>
  <sheetViews>
    <sheetView tabSelected="1" zoomScale="120" workbookViewId="0">
      <selection activeCell="H10" sqref="H10"/>
    </sheetView>
  </sheetViews>
  <sheetFormatPr defaultColWidth="9.6640625" defaultRowHeight="13.2" x14ac:dyDescent="0.25"/>
  <cols>
    <col min="1" max="1" width="16.6640625" bestFit="1" customWidth="1"/>
    <col min="2" max="3" width="13" customWidth="1"/>
    <col min="4" max="4" width="11.6640625" bestFit="1" customWidth="1"/>
    <col min="5" max="5" width="9.5546875" bestFit="1" customWidth="1"/>
  </cols>
  <sheetData>
    <row r="2" spans="1:14" ht="15" x14ac:dyDescent="0.25">
      <c r="A2" s="4"/>
      <c r="B2" s="15"/>
      <c r="C2" s="16"/>
      <c r="D2" s="17"/>
      <c r="E2" s="4"/>
      <c r="F2" s="1"/>
      <c r="G2" s="1"/>
      <c r="H2" s="1"/>
    </row>
    <row r="3" spans="1:14" x14ac:dyDescent="0.25">
      <c r="A3" s="4"/>
      <c r="B3" s="4"/>
      <c r="C3" s="4"/>
      <c r="D3" s="4"/>
      <c r="E3" s="4"/>
      <c r="F3" s="2"/>
      <c r="G3" s="3" t="s">
        <v>0</v>
      </c>
      <c r="H3" s="2"/>
      <c r="I3" s="2"/>
    </row>
    <row r="4" spans="1:14" x14ac:dyDescent="0.25">
      <c r="A4" s="4"/>
      <c r="B4" s="5" t="s">
        <v>1</v>
      </c>
      <c r="C4" s="5" t="s">
        <v>2</v>
      </c>
      <c r="D4" s="4"/>
      <c r="E4" s="4"/>
      <c r="F4" s="2"/>
      <c r="G4" s="3" t="s">
        <v>0</v>
      </c>
      <c r="H4" s="2"/>
      <c r="I4" s="1"/>
      <c r="J4" s="1"/>
      <c r="K4" s="1"/>
      <c r="L4" s="1"/>
      <c r="M4" s="1"/>
      <c r="N4" s="1"/>
    </row>
    <row r="5" spans="1:14" ht="13.8" thickBot="1" x14ac:dyDescent="0.3">
      <c r="A5" s="18" t="s">
        <v>8</v>
      </c>
      <c r="B5" s="13">
        <v>122.00000000000001</v>
      </c>
      <c r="C5" s="13">
        <v>77.999999999999986</v>
      </c>
      <c r="D5" s="5" t="s">
        <v>7</v>
      </c>
      <c r="E5" s="4"/>
      <c r="G5" s="1"/>
      <c r="H5" s="1"/>
      <c r="I5" s="2"/>
    </row>
    <row r="6" spans="1:14" ht="14.4" thickTop="1" thickBot="1" x14ac:dyDescent="0.3">
      <c r="A6" s="6" t="s">
        <v>5</v>
      </c>
      <c r="B6" s="8">
        <v>350</v>
      </c>
      <c r="C6" s="8">
        <v>300</v>
      </c>
      <c r="D6" s="12">
        <f>SUMPRODUCT($B$5:$C$5,B6:C6)</f>
        <v>66100</v>
      </c>
      <c r="E6" s="4"/>
      <c r="F6" s="2"/>
      <c r="G6" s="2"/>
      <c r="H6" s="2"/>
      <c r="I6" s="1"/>
    </row>
    <row r="7" spans="1:14" ht="14.4" thickTop="1" thickBot="1" x14ac:dyDescent="0.3">
      <c r="B7" s="7"/>
      <c r="C7" s="7"/>
      <c r="D7" s="19" t="s">
        <v>12</v>
      </c>
      <c r="E7" s="20" t="s">
        <v>13</v>
      </c>
      <c r="F7" s="2"/>
      <c r="G7" s="2"/>
      <c r="H7" s="2"/>
      <c r="I7" s="1"/>
    </row>
    <row r="8" spans="1:14" x14ac:dyDescent="0.25">
      <c r="A8" s="6" t="s">
        <v>6</v>
      </c>
      <c r="B8" s="7"/>
      <c r="C8" s="7"/>
      <c r="D8" s="5" t="s">
        <v>3</v>
      </c>
      <c r="E8" s="5" t="s">
        <v>4</v>
      </c>
      <c r="F8" s="2"/>
      <c r="G8" s="2"/>
      <c r="H8" s="2"/>
    </row>
    <row r="9" spans="1:14" x14ac:dyDescent="0.25">
      <c r="A9" s="6" t="s">
        <v>9</v>
      </c>
      <c r="B9" s="9">
        <v>1</v>
      </c>
      <c r="C9" s="9">
        <v>1</v>
      </c>
      <c r="D9" s="14">
        <f>SUMPRODUCT($B$5:$C$5,B9:C9)</f>
        <v>200</v>
      </c>
      <c r="E9" s="10">
        <v>200</v>
      </c>
      <c r="F9" s="1"/>
      <c r="G9" s="1"/>
      <c r="H9" s="1"/>
    </row>
    <row r="10" spans="1:14" x14ac:dyDescent="0.25">
      <c r="A10" s="6" t="s">
        <v>10</v>
      </c>
      <c r="B10" s="9">
        <v>9</v>
      </c>
      <c r="C10" s="9">
        <v>6</v>
      </c>
      <c r="D10" s="14">
        <f>SUMPRODUCT($B$5:$C$5,B10:C10)</f>
        <v>1566</v>
      </c>
      <c r="E10" s="9">
        <v>1566</v>
      </c>
    </row>
    <row r="11" spans="1:14" x14ac:dyDescent="0.25">
      <c r="A11" s="6" t="s">
        <v>11</v>
      </c>
      <c r="B11" s="9">
        <v>12</v>
      </c>
      <c r="C11" s="9">
        <v>16</v>
      </c>
      <c r="D11" s="14">
        <f>SUMPRODUCT($B$5:$C$5,B11:C11)</f>
        <v>2712</v>
      </c>
      <c r="E11" s="9">
        <v>2880</v>
      </c>
    </row>
    <row r="12" spans="1:14" x14ac:dyDescent="0.25">
      <c r="B12" s="4"/>
      <c r="C12" s="4"/>
      <c r="D12" s="4"/>
      <c r="E12" s="4"/>
    </row>
    <row r="13" spans="1:14" x14ac:dyDescent="0.25">
      <c r="B13" s="1"/>
      <c r="C13" s="1"/>
      <c r="D13" s="1"/>
      <c r="F13" s="11"/>
    </row>
    <row r="14" spans="1:14" x14ac:dyDescent="0.25">
      <c r="B14" s="2"/>
      <c r="C14" s="2"/>
      <c r="D14" s="2"/>
      <c r="F14" s="11"/>
    </row>
    <row r="15" spans="1:14" x14ac:dyDescent="0.25">
      <c r="B15" s="2"/>
      <c r="C15" s="2"/>
      <c r="D15" s="2"/>
      <c r="F15" s="11"/>
    </row>
    <row r="16" spans="1:14" x14ac:dyDescent="0.25">
      <c r="B16" s="2"/>
      <c r="C16" s="2"/>
      <c r="D16" s="2"/>
      <c r="F16" s="11"/>
    </row>
    <row r="17" spans="2:4" x14ac:dyDescent="0.25">
      <c r="B17" s="1"/>
      <c r="C17" s="1"/>
      <c r="D17" s="1"/>
    </row>
  </sheetData>
  <printOptions gridLines="1" gridLinesSet="0"/>
  <pageMargins left="0.75" right="0.75" top="1" bottom="1" header="0.5" footer="0.5"/>
  <pageSetup orientation="portrait" horizontalDpi="4294967292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Production Report</vt:lpstr>
      <vt:lpstr>Production Report (Solution)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Ragsdale</dc:creator>
  <cp:lastModifiedBy>Poh Lim</cp:lastModifiedBy>
  <cp:lastPrinted>1996-09-19T18:10:37Z</cp:lastPrinted>
  <dcterms:created xsi:type="dcterms:W3CDTF">1999-08-27T19:50:30Z</dcterms:created>
  <dcterms:modified xsi:type="dcterms:W3CDTF">2018-07-27T12:09:25Z</dcterms:modified>
</cp:coreProperties>
</file>