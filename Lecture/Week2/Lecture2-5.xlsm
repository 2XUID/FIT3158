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ad.monash.edu\home\User081\phlee\Documents\2018\FIT3158\Lecture\Week 2\"/>
    </mc:Choice>
  </mc:AlternateContent>
  <bookViews>
    <workbookView xWindow="-12" yWindow="-12" windowWidth="9636" windowHeight="5196" tabRatio="583" firstSheet="1" activeTab="2"/>
  </bookViews>
  <sheets>
    <sheet name="Module1" sheetId="1" state="veryHidden" r:id=""/>
    <sheet name="Funding Report" sheetId="2" r:id="rId1"/>
    <sheet name="Funding Report (Soln)" sheetId="3" r:id="rId2"/>
  </sheets>
  <definedNames>
    <definedName name="_Key1" hidden="1">#REF!</definedName>
    <definedName name="_Order1" hidden="1">255</definedName>
    <definedName name="DATA">#REF!</definedName>
    <definedName name="solver_adj" localSheetId="2" hidden="1">'Funding Report (Soln)'!$D$6:$D$17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ng" localSheetId="1" hidden="1">2</definedName>
    <definedName name="solver_eng" localSheetId="2" hidden="1">2</definedName>
    <definedName name="solver_est" localSheetId="1" hidden="1">1</definedName>
    <definedName name="solver_est" localSheetId="2" hidden="1">1</definedName>
    <definedName name="solver_ibd" localSheetId="1" hidden="1">2</definedName>
    <definedName name="solver_ibd" localSheetId="2" hidden="1">2</definedName>
    <definedName name="solver_itr" localSheetId="1" hidden="1">1000</definedName>
    <definedName name="solver_itr" localSheetId="2" hidden="1">1000</definedName>
    <definedName name="solver_lhs1" localSheetId="1" hidden="1">'Funding Report'!$D$6:$D$17</definedName>
    <definedName name="solver_lhs1" localSheetId="2" hidden="1">'Funding Report (Soln)'!$G$18:$L$18</definedName>
    <definedName name="solver_lhs2" localSheetId="1" hidden="1">'Funding Report'!$G$18:$L$18</definedName>
    <definedName name="solver_lhs2" localSheetId="2" hidden="1">'Funding Report (Soln)'!$D$6:$D$17</definedName>
    <definedName name="solver_lin" localSheetId="1" hidden="1">1</definedName>
    <definedName name="solver_lin" localSheetId="2" hidden="1">1</definedName>
    <definedName name="solver_lva" localSheetId="1" hidden="1">2</definedName>
    <definedName name="solver_lva" localSheetId="2" hidden="1">2</definedName>
    <definedName name="solver_mip" localSheetId="1" hidden="1">1000</definedName>
    <definedName name="solver_mip" localSheetId="2" hidden="1">1000</definedName>
    <definedName name="solver_mni" localSheetId="1" hidden="1">30</definedName>
    <definedName name="solver_mni" localSheetId="2" hidden="1">30</definedName>
    <definedName name="solver_mrt" localSheetId="1" hidden="1">0.075</definedName>
    <definedName name="solver_mrt" localSheetId="2" hidden="1">0.075</definedName>
    <definedName name="solver_neg" localSheetId="1" hidden="1">2</definedName>
    <definedName name="solver_neg" localSheetId="2" hidden="1">2</definedName>
    <definedName name="solver_nod" localSheetId="1" hidden="1">1000</definedName>
    <definedName name="solver_nod" localSheetId="2" hidden="1">1000</definedName>
    <definedName name="solver_num" localSheetId="1" hidden="1">0</definedName>
    <definedName name="solver_num" localSheetId="2" hidden="1">2</definedName>
    <definedName name="solver_nwt" localSheetId="1" hidden="1">1</definedName>
    <definedName name="solver_nwt" localSheetId="2" hidden="1">1</definedName>
    <definedName name="solver_ofx" localSheetId="1" hidden="1">2</definedName>
    <definedName name="solver_ofx" localSheetId="2" hidden="1">2</definedName>
    <definedName name="solver_opt" localSheetId="2" hidden="1">'Funding Report (Soln)'!$D$18</definedName>
    <definedName name="solver_piv" localSheetId="1" hidden="1">0.000001</definedName>
    <definedName name="solver_piv" localSheetId="2" hidden="1">0.000001</definedName>
    <definedName name="solver_pre" localSheetId="1" hidden="1">0.00000001</definedName>
    <definedName name="solver_pre" localSheetId="2" hidden="1">0.00000001</definedName>
    <definedName name="solver_pro" localSheetId="1" hidden="1">2</definedName>
    <definedName name="solver_pro" localSheetId="2" hidden="1">2</definedName>
    <definedName name="solver_rbv" localSheetId="1" hidden="1">1</definedName>
    <definedName name="solver_rbv" localSheetId="2" hidden="1">1</definedName>
    <definedName name="solver_red" localSheetId="1" hidden="1">0.000001</definedName>
    <definedName name="solver_red" localSheetId="2" hidden="1">0.000001</definedName>
    <definedName name="solver_rel1" localSheetId="1" hidden="1">3</definedName>
    <definedName name="solver_rel1" localSheetId="2" hidden="1">2</definedName>
    <definedName name="solver_rel2" localSheetId="1" hidden="1">2</definedName>
    <definedName name="solver_rel2" localSheetId="2" hidden="1">3</definedName>
    <definedName name="solver_reo" localSheetId="1" hidden="1">2</definedName>
    <definedName name="solver_reo" localSheetId="2" hidden="1">2</definedName>
    <definedName name="solver_rep" localSheetId="1" hidden="1">2</definedName>
    <definedName name="solver_rep" localSheetId="2" hidden="1">2</definedName>
    <definedName name="solver_rhs1" localSheetId="1" hidden="1">0</definedName>
    <definedName name="solver_rhs1" localSheetId="2" hidden="1">'Funding Report (Soln)'!$G$19:$L$19</definedName>
    <definedName name="solver_rhs2" localSheetId="1" hidden="1">'Funding Report'!$G$19:$L$19</definedName>
    <definedName name="solver_rhs2" localSheetId="2" hidden="1">0</definedName>
    <definedName name="solver_rlx" localSheetId="1" hidden="1">2</definedName>
    <definedName name="solver_rlx" localSheetId="2" hidden="1">2</definedName>
    <definedName name="solver_scl" localSheetId="1" hidden="1">2</definedName>
    <definedName name="solver_scl" localSheetId="2" hidden="1">2</definedName>
    <definedName name="solver_sho" localSheetId="1" hidden="1">2</definedName>
    <definedName name="solver_sho" localSheetId="2" hidden="1">2</definedName>
    <definedName name="solver_ssz" localSheetId="1" hidden="1">100</definedName>
    <definedName name="solver_ssz" localSheetId="2" hidden="1">100</definedName>
    <definedName name="solver_std" localSheetId="1" hidden="1">0</definedName>
    <definedName name="solver_std" localSheetId="2" hidden="1">0</definedName>
    <definedName name="solver_tim" localSheetId="1" hidden="1">100</definedName>
    <definedName name="solver_tim" localSheetId="2" hidden="1">100</definedName>
    <definedName name="solver_tol" localSheetId="1" hidden="1">0.05</definedName>
    <definedName name="solver_tol" localSheetId="2" hidden="1">0.05</definedName>
    <definedName name="solver_typ" localSheetId="1" hidden="1">1</definedName>
    <definedName name="solver_typ" localSheetId="2" hidden="1">2</definedName>
    <definedName name="solver_val" localSheetId="1" hidden="1">0</definedName>
    <definedName name="solver_val" localSheetId="2" hidden="1">0</definedName>
    <definedName name="solver_ver" localSheetId="1" hidden="1">2</definedName>
    <definedName name="solver_ver" localSheetId="2" hidden="1">3</definedName>
  </definedNames>
  <calcPr calcId="162913"/>
</workbook>
</file>

<file path=xl/calcChain.xml><?xml version="1.0" encoding="utf-8"?>
<calcChain xmlns="http://schemas.openxmlformats.org/spreadsheetml/2006/main">
  <c r="F6" i="3" l="1"/>
  <c r="G6" i="3"/>
  <c r="H6" i="3"/>
  <c r="I6" i="3"/>
  <c r="J6" i="3"/>
  <c r="K6" i="3"/>
  <c r="K18" i="3" s="1"/>
  <c r="L6" i="3"/>
  <c r="L18" i="3" s="1"/>
  <c r="F7" i="3"/>
  <c r="G7" i="3"/>
  <c r="H7" i="3"/>
  <c r="I7" i="3"/>
  <c r="J7" i="3"/>
  <c r="K7" i="3"/>
  <c r="L7" i="3"/>
  <c r="F8" i="3"/>
  <c r="G8" i="3"/>
  <c r="H8" i="3"/>
  <c r="I8" i="3"/>
  <c r="J8" i="3"/>
  <c r="K8" i="3"/>
  <c r="L8" i="3"/>
  <c r="F9" i="3"/>
  <c r="G9" i="3"/>
  <c r="G18" i="3" s="1"/>
  <c r="H9" i="3"/>
  <c r="I9" i="3"/>
  <c r="J9" i="3"/>
  <c r="K9" i="3"/>
  <c r="L9" i="3"/>
  <c r="F10" i="3"/>
  <c r="G10" i="3"/>
  <c r="H10" i="3"/>
  <c r="I10" i="3"/>
  <c r="J10" i="3"/>
  <c r="K10" i="3"/>
  <c r="L10" i="3"/>
  <c r="F11" i="3"/>
  <c r="G11" i="3"/>
  <c r="H11" i="3"/>
  <c r="I11" i="3"/>
  <c r="I18" i="3" s="1"/>
  <c r="J11" i="3"/>
  <c r="K11" i="3"/>
  <c r="L11" i="3"/>
  <c r="F12" i="3"/>
  <c r="G12" i="3"/>
  <c r="H12" i="3"/>
  <c r="I12" i="3"/>
  <c r="J12" i="3"/>
  <c r="J18" i="3" s="1"/>
  <c r="K12" i="3"/>
  <c r="L12" i="3"/>
  <c r="F13" i="3"/>
  <c r="G13" i="3"/>
  <c r="H13" i="3"/>
  <c r="I13" i="3"/>
  <c r="J13" i="3"/>
  <c r="K13" i="3"/>
  <c r="L13" i="3"/>
  <c r="F14" i="3"/>
  <c r="G14" i="3"/>
  <c r="H14" i="3"/>
  <c r="I14" i="3"/>
  <c r="J14" i="3"/>
  <c r="K14" i="3"/>
  <c r="L14" i="3"/>
  <c r="F15" i="3"/>
  <c r="G15" i="3"/>
  <c r="H15" i="3"/>
  <c r="I15" i="3"/>
  <c r="J15" i="3"/>
  <c r="K15" i="3"/>
  <c r="L15" i="3"/>
  <c r="F16" i="3"/>
  <c r="G16" i="3"/>
  <c r="H16" i="3"/>
  <c r="I16" i="3"/>
  <c r="J16" i="3"/>
  <c r="K16" i="3"/>
  <c r="L16" i="3"/>
  <c r="F17" i="3"/>
  <c r="G17" i="3"/>
  <c r="H17" i="3"/>
  <c r="I17" i="3"/>
  <c r="J17" i="3"/>
  <c r="K17" i="3"/>
  <c r="L17" i="3"/>
  <c r="D18" i="3"/>
  <c r="H18" i="3"/>
  <c r="K17" i="2"/>
  <c r="J17" i="2"/>
  <c r="I17" i="2"/>
  <c r="H17" i="2"/>
  <c r="G17" i="2"/>
  <c r="F17" i="2"/>
  <c r="K16" i="2"/>
  <c r="J16" i="2"/>
  <c r="I16" i="2"/>
  <c r="H16" i="2"/>
  <c r="G16" i="2"/>
  <c r="F16" i="2"/>
  <c r="K15" i="2"/>
  <c r="J15" i="2"/>
  <c r="I15" i="2"/>
  <c r="H15" i="2"/>
  <c r="G15" i="2"/>
  <c r="F15" i="2"/>
  <c r="K14" i="2"/>
  <c r="J14" i="2"/>
  <c r="I14" i="2"/>
  <c r="H14" i="2"/>
  <c r="G14" i="2"/>
  <c r="F14" i="2"/>
  <c r="K13" i="2"/>
  <c r="J13" i="2"/>
  <c r="I13" i="2"/>
  <c r="H13" i="2"/>
  <c r="G13" i="2"/>
  <c r="F13" i="2"/>
  <c r="K12" i="2"/>
  <c r="J12" i="2"/>
  <c r="I12" i="2"/>
  <c r="H12" i="2"/>
  <c r="G12" i="2"/>
  <c r="F12" i="2"/>
  <c r="K11" i="2"/>
  <c r="J11" i="2"/>
  <c r="I11" i="2"/>
  <c r="H11" i="2"/>
  <c r="G11" i="2"/>
  <c r="F11" i="2"/>
  <c r="K10" i="2"/>
  <c r="J10" i="2"/>
  <c r="I10" i="2"/>
  <c r="H10" i="2"/>
  <c r="G10" i="2"/>
  <c r="F10" i="2"/>
  <c r="K9" i="2"/>
  <c r="J9" i="2"/>
  <c r="I9" i="2"/>
  <c r="I18" i="2" s="1"/>
  <c r="H9" i="2"/>
  <c r="G9" i="2"/>
  <c r="F9" i="2"/>
  <c r="K8" i="2"/>
  <c r="J8" i="2"/>
  <c r="I8" i="2"/>
  <c r="H8" i="2"/>
  <c r="G8" i="2"/>
  <c r="F8" i="2"/>
  <c r="K7" i="2"/>
  <c r="J7" i="2"/>
  <c r="I7" i="2"/>
  <c r="H7" i="2"/>
  <c r="G7" i="2"/>
  <c r="F7" i="2"/>
  <c r="K6" i="2"/>
  <c r="K18" i="2" s="1"/>
  <c r="J6" i="2"/>
  <c r="J18" i="2" s="1"/>
  <c r="I6" i="2"/>
  <c r="H6" i="2"/>
  <c r="H18" i="2" s="1"/>
  <c r="G6" i="2"/>
  <c r="G18" i="2" s="1"/>
  <c r="F6" i="2"/>
  <c r="L17" i="2"/>
  <c r="L6" i="2"/>
  <c r="L7" i="2"/>
  <c r="L18" i="2" s="1"/>
  <c r="L8" i="2"/>
  <c r="L9" i="2"/>
  <c r="L10" i="2"/>
  <c r="L11" i="2"/>
  <c r="L12" i="2"/>
  <c r="L13" i="2"/>
  <c r="L14" i="2"/>
  <c r="L15" i="2"/>
  <c r="L16" i="2"/>
  <c r="D18" i="2"/>
</calcChain>
</file>

<file path=xl/comments1.xml><?xml version="1.0" encoding="utf-8"?>
<comments xmlns="http://schemas.openxmlformats.org/spreadsheetml/2006/main">
  <authors>
    <author>A satisfied Microsoft Office user</author>
  </authors>
  <commentList>
    <comment ref="D6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7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8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9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10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11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12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13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14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1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16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17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18" authorId="0" shapeId="0">
      <text>
        <r>
          <rPr>
            <sz val="8"/>
            <color indexed="81"/>
            <rFont val="Tahoma"/>
            <family val="2"/>
          </rPr>
          <t>Set cell</t>
        </r>
      </text>
    </comment>
    <comment ref="G18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H18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I18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J18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K18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L18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</commentList>
</comments>
</file>

<file path=xl/comments2.xml><?xml version="1.0" encoding="utf-8"?>
<comments xmlns="http://schemas.openxmlformats.org/spreadsheetml/2006/main">
  <authors>
    <author>A satisfied Microsoft Office user</author>
  </authors>
  <commentList>
    <comment ref="D6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7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8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9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10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11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12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13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14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1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16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17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18" authorId="0" shapeId="0">
      <text>
        <r>
          <rPr>
            <sz val="8"/>
            <color indexed="81"/>
            <rFont val="Tahoma"/>
            <family val="2"/>
          </rPr>
          <t>Set cell</t>
        </r>
      </text>
    </comment>
    <comment ref="G18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H18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I18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J18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K18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L18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</commentList>
</comments>
</file>

<file path=xl/sharedStrings.xml><?xml version="1.0" encoding="utf-8"?>
<sst xmlns="http://schemas.openxmlformats.org/spreadsheetml/2006/main" count="44" uniqueCount="14">
  <si>
    <t>Month of Cash</t>
  </si>
  <si>
    <t>Investment</t>
  </si>
  <si>
    <t>Inflow</t>
  </si>
  <si>
    <t>Outflow</t>
  </si>
  <si>
    <t>Amount</t>
  </si>
  <si>
    <t>Return</t>
  </si>
  <si>
    <t>A</t>
  </si>
  <si>
    <t>B</t>
  </si>
  <si>
    <t>C</t>
  </si>
  <si>
    <t>D</t>
  </si>
  <si>
    <t xml:space="preserve">   Surplus Funds</t>
  </si>
  <si>
    <t xml:space="preserve">   Req'd Payments</t>
  </si>
  <si>
    <t>Cash Flow Summary For Month</t>
  </si>
  <si>
    <t xml:space="preserve">Total Invested in Month 1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</si>
</sst>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&quot;$&quot;#,##0_);\(&quot;$&quot;#,##0\)"/>
    <numFmt numFmtId="172" formatCode="General_)"/>
    <numFmt numFmtId="173" formatCode="&quot;$&quot;#,##0.000_);\(&quot;$&quot;#,##0.000\)"/>
    <numFmt numFmtId="175" formatCode="0.0"/>
    <numFmt numFmtId="176" formatCode="0.0%"/>
    <numFmt numFmtId="179" formatCode="&quot;$&quot;#,##0.000"/>
  </numFmts>
  <fonts count="9" x14ac:knownFonts="1">
    <font>
      <sz val="10"/>
      <name val="Arial"/>
      <family val="2"/>
    </font>
    <font>
      <b/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color indexed="81"/>
      <name val="Tahoma"/>
      <family val="2"/>
    </font>
    <font>
      <b/>
      <sz val="10"/>
      <color indexed="17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172" fontId="0" fillId="0" borderId="0"/>
    <xf numFmtId="9" fontId="2" fillId="0" borderId="0" applyFont="0" applyFill="0" applyBorder="0" applyAlignment="0" applyProtection="0"/>
  </cellStyleXfs>
  <cellXfs count="29">
    <xf numFmtId="172" fontId="0" fillId="0" borderId="0" xfId="0"/>
    <xf numFmtId="173" fontId="0" fillId="0" borderId="0" xfId="0" applyNumberFormat="1" applyProtection="1"/>
    <xf numFmtId="173" fontId="0" fillId="0" borderId="0" xfId="0" applyNumberFormat="1" applyFill="1" applyBorder="1" applyProtection="1"/>
    <xf numFmtId="172" fontId="3" fillId="0" borderId="0" xfId="0" applyFont="1" applyBorder="1"/>
    <xf numFmtId="172" fontId="4" fillId="0" borderId="0" xfId="0" applyFont="1" applyBorder="1" applyAlignment="1">
      <alignment horizontal="centerContinuous"/>
    </xf>
    <xf numFmtId="172" fontId="4" fillId="0" borderId="0" xfId="0" applyFont="1" applyBorder="1" applyAlignment="1" applyProtection="1">
      <alignment horizontal="centerContinuous"/>
    </xf>
    <xf numFmtId="172" fontId="4" fillId="0" borderId="1" xfId="0" applyFont="1" applyBorder="1" applyAlignment="1" applyProtection="1">
      <alignment horizontal="center"/>
    </xf>
    <xf numFmtId="172" fontId="3" fillId="0" borderId="0" xfId="0" applyFont="1" applyBorder="1" applyAlignment="1" applyProtection="1">
      <alignment horizontal="center"/>
    </xf>
    <xf numFmtId="172" fontId="3" fillId="0" borderId="2" xfId="0" applyFont="1" applyBorder="1" applyAlignment="1" applyProtection="1">
      <alignment horizontal="center"/>
    </xf>
    <xf numFmtId="172" fontId="3" fillId="0" borderId="3" xfId="0" applyFont="1" applyBorder="1" applyAlignment="1" applyProtection="1">
      <alignment horizontal="center"/>
    </xf>
    <xf numFmtId="172" fontId="3" fillId="0" borderId="4" xfId="0" applyFont="1" applyBorder="1" applyAlignment="1" applyProtection="1">
      <alignment horizontal="center"/>
    </xf>
    <xf numFmtId="172" fontId="3" fillId="0" borderId="1" xfId="0" applyFont="1" applyBorder="1" applyAlignment="1" applyProtection="1">
      <alignment horizontal="center"/>
    </xf>
    <xf numFmtId="172" fontId="3" fillId="0" borderId="5" xfId="0" applyFont="1" applyBorder="1" applyAlignment="1" applyProtection="1">
      <alignment horizontal="center"/>
    </xf>
    <xf numFmtId="172" fontId="3" fillId="0" borderId="6" xfId="0" applyFont="1" applyBorder="1"/>
    <xf numFmtId="172" fontId="4" fillId="0" borderId="6" xfId="0" applyFont="1" applyBorder="1" applyAlignment="1" applyProtection="1">
      <alignment horizontal="right"/>
    </xf>
    <xf numFmtId="172" fontId="3" fillId="0" borderId="0" xfId="0" applyFont="1"/>
    <xf numFmtId="172" fontId="4" fillId="0" borderId="0" xfId="0" applyFont="1" applyBorder="1" applyAlignment="1" applyProtection="1">
      <alignment horizontal="right"/>
    </xf>
    <xf numFmtId="172" fontId="4" fillId="0" borderId="0" xfId="0" applyFont="1" applyAlignment="1">
      <alignment horizontal="center"/>
    </xf>
    <xf numFmtId="172" fontId="1" fillId="0" borderId="0" xfId="0" applyFont="1" applyBorder="1" applyAlignment="1" applyProtection="1">
      <alignment horizontal="center"/>
    </xf>
    <xf numFmtId="164" fontId="1" fillId="0" borderId="0" xfId="0" applyNumberFormat="1" applyFont="1" applyBorder="1" applyAlignment="1" applyProtection="1">
      <alignment horizontal="center"/>
    </xf>
    <xf numFmtId="172" fontId="4" fillId="0" borderId="6" xfId="0" applyFont="1" applyBorder="1" applyAlignment="1">
      <alignment horizontal="center"/>
    </xf>
    <xf numFmtId="176" fontId="1" fillId="0" borderId="7" xfId="1" applyNumberFormat="1" applyFont="1" applyBorder="1" applyAlignment="1" applyProtection="1">
      <alignment horizontal="center"/>
    </xf>
    <xf numFmtId="176" fontId="1" fillId="0" borderId="8" xfId="1" applyNumberFormat="1" applyFont="1" applyBorder="1" applyAlignment="1" applyProtection="1">
      <alignment horizontal="center"/>
    </xf>
    <xf numFmtId="176" fontId="1" fillId="0" borderId="9" xfId="1" applyNumberFormat="1" applyFont="1" applyBorder="1" applyAlignment="1" applyProtection="1">
      <alignment horizontal="center"/>
    </xf>
    <xf numFmtId="172" fontId="4" fillId="0" borderId="6" xfId="0" applyFont="1" applyBorder="1" applyAlignment="1">
      <alignment horizontal="right"/>
    </xf>
    <xf numFmtId="172" fontId="0" fillId="0" borderId="6" xfId="0" applyBorder="1"/>
    <xf numFmtId="173" fontId="6" fillId="2" borderId="10" xfId="0" applyNumberFormat="1" applyFont="1" applyFill="1" applyBorder="1" applyAlignment="1" applyProtection="1">
      <alignment horizontal="center"/>
    </xf>
    <xf numFmtId="179" fontId="7" fillId="2" borderId="11" xfId="0" applyNumberFormat="1" applyFont="1" applyFill="1" applyBorder="1" applyAlignment="1">
      <alignment horizontal="center"/>
    </xf>
    <xf numFmtId="175" fontId="8" fillId="2" borderId="12" xfId="0" applyNumberFormat="1" applyFont="1" applyFill="1" applyBorder="1" applyAlignment="1" applyProtection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502920</xdr:colOff>
      <xdr:row>20</xdr:row>
      <xdr:rowOff>0</xdr:rowOff>
    </xdr:from>
    <xdr:to>
      <xdr:col>5</xdr:col>
      <xdr:colOff>99060</xdr:colOff>
      <xdr:row>24</xdr:row>
      <xdr:rowOff>106680</xdr:rowOff>
    </xdr:to>
    <xdr:sp macro="" textlink="">
      <xdr:nvSpPr>
        <xdr:cNvPr id="1025" name="Note" hidden="1"/>
        <xdr:cNvSpPr txBox="1">
          <a:spLocks noChangeArrowheads="1"/>
        </xdr:cNvSpPr>
      </xdr:nvSpPr>
      <xdr:spPr bwMode="auto">
        <a:xfrm>
          <a:off x="502920" y="3390900"/>
          <a:ext cx="2758440" cy="777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3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Minimize:    D18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By changing: D6:D17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Subject to:  G18:L18=G19:L19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             D6:D17&gt;=0</a:t>
          </a:r>
        </a:p>
      </xdr:txBody>
    </xdr:sp>
    <xdr:clientData/>
  </xdr:twoCellAnchor>
  <xdr:twoCellAnchor>
    <xdr:from>
      <xdr:col>3</xdr:col>
      <xdr:colOff>419100</xdr:colOff>
      <xdr:row>0</xdr:row>
      <xdr:rowOff>45720</xdr:rowOff>
    </xdr:from>
    <xdr:to>
      <xdr:col>7</xdr:col>
      <xdr:colOff>220980</xdr:colOff>
      <xdr:row>2</xdr:row>
      <xdr:rowOff>91440</xdr:rowOff>
    </xdr:to>
    <xdr:sp macro="[0]!Toggle" textlink="">
      <xdr:nvSpPr>
        <xdr:cNvPr id="1026" name="Text 2"/>
        <xdr:cNvSpPr>
          <a:spLocks noChangeArrowheads="1"/>
        </xdr:cNvSpPr>
      </xdr:nvSpPr>
      <xdr:spPr bwMode="auto">
        <a:xfrm>
          <a:off x="2278380" y="45720"/>
          <a:ext cx="1973580" cy="3810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A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Taco-Viva</a:t>
          </a:r>
        </a:p>
      </xdr:txBody>
    </xdr:sp>
    <xdr:clientData/>
  </xdr:twoCellAnchor>
  <xdr:twoCellAnchor>
    <xdr:from>
      <xdr:col>5</xdr:col>
      <xdr:colOff>312420</xdr:colOff>
      <xdr:row>1</xdr:row>
      <xdr:rowOff>76200</xdr:rowOff>
    </xdr:from>
    <xdr:to>
      <xdr:col>16</xdr:col>
      <xdr:colOff>541020</xdr:colOff>
      <xdr:row>5</xdr:row>
      <xdr:rowOff>60960</xdr:rowOff>
    </xdr:to>
    <xdr:grpSp>
      <xdr:nvGrpSpPr>
        <xdr:cNvPr id="1046" name="Group 22"/>
        <xdr:cNvGrpSpPr>
          <a:grpSpLocks/>
        </xdr:cNvGrpSpPr>
      </xdr:nvGrpSpPr>
      <xdr:grpSpPr bwMode="auto">
        <a:xfrm>
          <a:off x="3474720" y="243840"/>
          <a:ext cx="5707380" cy="662940"/>
          <a:chOff x="354" y="22"/>
          <a:chExt cx="589" cy="67"/>
        </a:xfrm>
      </xdr:grpSpPr>
      <xdr:sp macro="" textlink="">
        <xdr:nvSpPr>
          <xdr:cNvPr id="1047" name="Text Box 23"/>
          <xdr:cNvSpPr txBox="1">
            <a:spLocks noChangeArrowheads="1"/>
          </xdr:cNvSpPr>
        </xdr:nvSpPr>
        <xdr:spPr bwMode="auto">
          <a:xfrm>
            <a:off x="481" y="22"/>
            <a:ext cx="462" cy="26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r>
              <a:rPr lang="en-AU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=IF($B6=F$5,-1,IF($C6=F$5,1+$E6,IF(AND($B6&lt;F$5,$C6&gt;F$5),"&lt;----&gt;","")))</a:t>
            </a:r>
          </a:p>
        </xdr:txBody>
      </xdr:sp>
      <xdr:sp macro="" textlink="">
        <xdr:nvSpPr>
          <xdr:cNvPr id="1048" name="Line 24"/>
          <xdr:cNvSpPr>
            <a:spLocks noChangeShapeType="1"/>
          </xdr:cNvSpPr>
        </xdr:nvSpPr>
        <xdr:spPr bwMode="auto">
          <a:xfrm flipH="1">
            <a:off x="354" y="37"/>
            <a:ext cx="121" cy="52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502920</xdr:colOff>
      <xdr:row>20</xdr:row>
      <xdr:rowOff>0</xdr:rowOff>
    </xdr:from>
    <xdr:to>
      <xdr:col>5</xdr:col>
      <xdr:colOff>99060</xdr:colOff>
      <xdr:row>24</xdr:row>
      <xdr:rowOff>106680</xdr:rowOff>
    </xdr:to>
    <xdr:sp macro="" textlink="">
      <xdr:nvSpPr>
        <xdr:cNvPr id="2049" name="Note" hidden="1"/>
        <xdr:cNvSpPr txBox="1">
          <a:spLocks noChangeArrowheads="1"/>
        </xdr:cNvSpPr>
      </xdr:nvSpPr>
      <xdr:spPr bwMode="auto">
        <a:xfrm>
          <a:off x="502920" y="3390900"/>
          <a:ext cx="2758440" cy="777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3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Minimize:    D18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By changing: D6:D17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Subject to:  G18:L18=G19:L19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             D6:D17&gt;=0</a:t>
          </a:r>
        </a:p>
      </xdr:txBody>
    </xdr:sp>
    <xdr:clientData/>
  </xdr:twoCellAnchor>
  <xdr:twoCellAnchor>
    <xdr:from>
      <xdr:col>3</xdr:col>
      <xdr:colOff>419100</xdr:colOff>
      <xdr:row>0</xdr:row>
      <xdr:rowOff>45720</xdr:rowOff>
    </xdr:from>
    <xdr:to>
      <xdr:col>7</xdr:col>
      <xdr:colOff>220980</xdr:colOff>
      <xdr:row>2</xdr:row>
      <xdr:rowOff>91440</xdr:rowOff>
    </xdr:to>
    <xdr:sp macro="[0]!Toggle" textlink="">
      <xdr:nvSpPr>
        <xdr:cNvPr id="2050" name="Text 2"/>
        <xdr:cNvSpPr>
          <a:spLocks noChangeArrowheads="1"/>
        </xdr:cNvSpPr>
      </xdr:nvSpPr>
      <xdr:spPr bwMode="auto">
        <a:xfrm>
          <a:off x="2278380" y="45720"/>
          <a:ext cx="1973580" cy="3810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A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Taco-Viva</a:t>
          </a:r>
        </a:p>
      </xdr:txBody>
    </xdr:sp>
    <xdr:clientData/>
  </xdr:twoCellAnchor>
  <xdr:twoCellAnchor editAs="oneCell">
    <xdr:from>
      <xdr:col>12</xdr:col>
      <xdr:colOff>60960</xdr:colOff>
      <xdr:row>3</xdr:row>
      <xdr:rowOff>99060</xdr:rowOff>
    </xdr:from>
    <xdr:to>
      <xdr:col>19</xdr:col>
      <xdr:colOff>487680</xdr:colOff>
      <xdr:row>25</xdr:row>
      <xdr:rowOff>7620</xdr:rowOff>
    </xdr:to>
    <xdr:pic>
      <xdr:nvPicPr>
        <xdr:cNvPr id="2070" name="Picture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63640" y="601980"/>
          <a:ext cx="4693920" cy="363474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5</xdr:col>
      <xdr:colOff>312420</xdr:colOff>
      <xdr:row>1</xdr:row>
      <xdr:rowOff>76200</xdr:rowOff>
    </xdr:from>
    <xdr:to>
      <xdr:col>16</xdr:col>
      <xdr:colOff>541020</xdr:colOff>
      <xdr:row>5</xdr:row>
      <xdr:rowOff>60960</xdr:rowOff>
    </xdr:to>
    <xdr:grpSp>
      <xdr:nvGrpSpPr>
        <xdr:cNvPr id="2073" name="Group 25"/>
        <xdr:cNvGrpSpPr>
          <a:grpSpLocks/>
        </xdr:cNvGrpSpPr>
      </xdr:nvGrpSpPr>
      <xdr:grpSpPr bwMode="auto">
        <a:xfrm>
          <a:off x="3474720" y="243840"/>
          <a:ext cx="5707380" cy="662940"/>
          <a:chOff x="354" y="22"/>
          <a:chExt cx="589" cy="67"/>
        </a:xfrm>
      </xdr:grpSpPr>
      <xdr:sp macro="" textlink="">
        <xdr:nvSpPr>
          <xdr:cNvPr id="2071" name="Text Box 23"/>
          <xdr:cNvSpPr txBox="1">
            <a:spLocks noChangeArrowheads="1"/>
          </xdr:cNvSpPr>
        </xdr:nvSpPr>
        <xdr:spPr bwMode="auto">
          <a:xfrm>
            <a:off x="481" y="22"/>
            <a:ext cx="462" cy="26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r>
              <a:rPr lang="en-AU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=IF($B6=F$5,-1,IF($C6=F$5,1+$E6,IF(AND($B6&lt;F$5,$C6&gt;F$5),"&lt;----&gt;","")))</a:t>
            </a:r>
          </a:p>
        </xdr:txBody>
      </xdr:sp>
      <xdr:sp macro="" textlink="">
        <xdr:nvSpPr>
          <xdr:cNvPr id="2072" name="Line 24"/>
          <xdr:cNvSpPr>
            <a:spLocks noChangeShapeType="1"/>
          </xdr:cNvSpPr>
        </xdr:nvSpPr>
        <xdr:spPr bwMode="auto">
          <a:xfrm flipH="1">
            <a:off x="354" y="37"/>
            <a:ext cx="121" cy="52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3:L24"/>
  <sheetViews>
    <sheetView workbookViewId="0">
      <selection activeCell="D33" sqref="D33"/>
    </sheetView>
  </sheetViews>
  <sheetFormatPr defaultRowHeight="13.2" x14ac:dyDescent="0.25"/>
  <cols>
    <col min="1" max="1" width="10.88671875" bestFit="1" customWidth="1"/>
    <col min="2" max="3" width="8.109375" customWidth="1"/>
    <col min="4" max="4" width="10.88671875" customWidth="1"/>
    <col min="5" max="5" width="8.109375" customWidth="1"/>
    <col min="6" max="12" width="6.33203125" customWidth="1"/>
  </cols>
  <sheetData>
    <row r="3" spans="1:12" x14ac:dyDescent="0.25">
      <c r="E3" s="1"/>
    </row>
    <row r="4" spans="1:12" x14ac:dyDescent="0.25">
      <c r="A4" s="3"/>
      <c r="B4" s="4" t="s">
        <v>0</v>
      </c>
      <c r="C4" s="4"/>
      <c r="D4" s="3"/>
      <c r="E4" s="3"/>
      <c r="F4" s="5" t="s">
        <v>12</v>
      </c>
      <c r="G4" s="4"/>
      <c r="H4" s="4"/>
      <c r="I4" s="4"/>
      <c r="J4" s="4"/>
      <c r="K4" s="4"/>
      <c r="L4" s="4"/>
    </row>
    <row r="5" spans="1:12" ht="13.8" thickBot="1" x14ac:dyDescent="0.3">
      <c r="A5" s="6" t="s">
        <v>1</v>
      </c>
      <c r="B5" s="6" t="s">
        <v>2</v>
      </c>
      <c r="C5" s="6" t="s">
        <v>3</v>
      </c>
      <c r="D5" s="6" t="s">
        <v>4</v>
      </c>
      <c r="E5" s="6" t="s">
        <v>5</v>
      </c>
      <c r="F5" s="6">
        <v>1</v>
      </c>
      <c r="G5" s="6">
        <v>2</v>
      </c>
      <c r="H5" s="6">
        <v>3</v>
      </c>
      <c r="I5" s="6">
        <v>4</v>
      </c>
      <c r="J5" s="6">
        <v>5</v>
      </c>
      <c r="K5" s="6">
        <v>6</v>
      </c>
      <c r="L5" s="6">
        <v>7</v>
      </c>
    </row>
    <row r="6" spans="1:12" x14ac:dyDescent="0.25">
      <c r="A6" s="18" t="s">
        <v>6</v>
      </c>
      <c r="B6" s="18">
        <v>1</v>
      </c>
      <c r="C6" s="18">
        <v>2</v>
      </c>
      <c r="D6" s="26">
        <v>0</v>
      </c>
      <c r="E6" s="21">
        <v>1.7999999999999999E-2</v>
      </c>
      <c r="F6" s="8">
        <f t="shared" ref="F6:L17" si="0">IF($B6=F$5,-1,IF($C6=F$5,1+$E6,IF(AND($B6&lt;F$5,$C6&gt;F$5),"&lt;----&gt;","")))</f>
        <v>-1</v>
      </c>
      <c r="G6" s="7">
        <f t="shared" si="0"/>
        <v>1.018</v>
      </c>
      <c r="H6" s="7" t="str">
        <f t="shared" si="0"/>
        <v/>
      </c>
      <c r="I6" s="7" t="str">
        <f t="shared" si="0"/>
        <v/>
      </c>
      <c r="J6" s="7" t="str">
        <f t="shared" si="0"/>
        <v/>
      </c>
      <c r="K6" s="7" t="str">
        <f t="shared" si="0"/>
        <v/>
      </c>
      <c r="L6" s="9" t="str">
        <f t="shared" si="0"/>
        <v/>
      </c>
    </row>
    <row r="7" spans="1:12" x14ac:dyDescent="0.25">
      <c r="A7" s="18" t="s">
        <v>7</v>
      </c>
      <c r="B7" s="18">
        <v>1</v>
      </c>
      <c r="C7" s="18">
        <v>3</v>
      </c>
      <c r="D7" s="26">
        <v>0</v>
      </c>
      <c r="E7" s="22">
        <v>3.5000000000000003E-2</v>
      </c>
      <c r="F7" s="8">
        <f t="shared" si="0"/>
        <v>-1</v>
      </c>
      <c r="G7" s="7" t="str">
        <f t="shared" si="0"/>
        <v>&lt;----&gt;</v>
      </c>
      <c r="H7" s="7">
        <f t="shared" si="0"/>
        <v>1.0349999999999999</v>
      </c>
      <c r="I7" s="7" t="str">
        <f t="shared" si="0"/>
        <v/>
      </c>
      <c r="J7" s="7" t="str">
        <f t="shared" si="0"/>
        <v/>
      </c>
      <c r="K7" s="7" t="str">
        <f t="shared" si="0"/>
        <v/>
      </c>
      <c r="L7" s="9" t="str">
        <f t="shared" si="0"/>
        <v/>
      </c>
    </row>
    <row r="8" spans="1:12" x14ac:dyDescent="0.25">
      <c r="A8" s="18" t="s">
        <v>8</v>
      </c>
      <c r="B8" s="18">
        <v>1</v>
      </c>
      <c r="C8" s="18">
        <v>4</v>
      </c>
      <c r="D8" s="26">
        <v>0</v>
      </c>
      <c r="E8" s="22">
        <v>5.8000000000000003E-2</v>
      </c>
      <c r="F8" s="8">
        <f t="shared" si="0"/>
        <v>-1</v>
      </c>
      <c r="G8" s="7" t="str">
        <f t="shared" si="0"/>
        <v>&lt;----&gt;</v>
      </c>
      <c r="H8" s="7" t="str">
        <f t="shared" si="0"/>
        <v>&lt;----&gt;</v>
      </c>
      <c r="I8" s="7">
        <f t="shared" si="0"/>
        <v>1.0580000000000001</v>
      </c>
      <c r="J8" s="7" t="str">
        <f t="shared" si="0"/>
        <v/>
      </c>
      <c r="K8" s="7" t="str">
        <f t="shared" si="0"/>
        <v/>
      </c>
      <c r="L8" s="9" t="str">
        <f t="shared" si="0"/>
        <v/>
      </c>
    </row>
    <row r="9" spans="1:12" x14ac:dyDescent="0.25">
      <c r="A9" s="18" t="s">
        <v>9</v>
      </c>
      <c r="B9" s="18">
        <v>1</v>
      </c>
      <c r="C9" s="18">
        <v>7</v>
      </c>
      <c r="D9" s="26">
        <v>0</v>
      </c>
      <c r="E9" s="22">
        <v>0.11</v>
      </c>
      <c r="F9" s="8">
        <f t="shared" si="0"/>
        <v>-1</v>
      </c>
      <c r="G9" s="7" t="str">
        <f t="shared" si="0"/>
        <v>&lt;----&gt;</v>
      </c>
      <c r="H9" s="7" t="str">
        <f t="shared" si="0"/>
        <v>&lt;----&gt;</v>
      </c>
      <c r="I9" s="7" t="str">
        <f t="shared" si="0"/>
        <v>&lt;----&gt;</v>
      </c>
      <c r="J9" s="7" t="str">
        <f t="shared" si="0"/>
        <v>&lt;----&gt;</v>
      </c>
      <c r="K9" s="7" t="str">
        <f t="shared" si="0"/>
        <v>&lt;----&gt;</v>
      </c>
      <c r="L9" s="9">
        <f t="shared" si="0"/>
        <v>1.1100000000000001</v>
      </c>
    </row>
    <row r="10" spans="1:12" x14ac:dyDescent="0.25">
      <c r="A10" s="18" t="s">
        <v>6</v>
      </c>
      <c r="B10" s="18">
        <v>2</v>
      </c>
      <c r="C10" s="18">
        <v>3</v>
      </c>
      <c r="D10" s="26">
        <v>0</v>
      </c>
      <c r="E10" s="22">
        <v>1.7999999999999999E-2</v>
      </c>
      <c r="F10" s="8" t="str">
        <f t="shared" si="0"/>
        <v/>
      </c>
      <c r="G10" s="7">
        <f t="shared" si="0"/>
        <v>-1</v>
      </c>
      <c r="H10" s="7">
        <f t="shared" si="0"/>
        <v>1.018</v>
      </c>
      <c r="I10" s="7" t="str">
        <f t="shared" si="0"/>
        <v/>
      </c>
      <c r="J10" s="7" t="str">
        <f t="shared" si="0"/>
        <v/>
      </c>
      <c r="K10" s="7" t="str">
        <f t="shared" si="0"/>
        <v/>
      </c>
      <c r="L10" s="9" t="str">
        <f t="shared" si="0"/>
        <v/>
      </c>
    </row>
    <row r="11" spans="1:12" x14ac:dyDescent="0.25">
      <c r="A11" s="18" t="s">
        <v>6</v>
      </c>
      <c r="B11" s="18">
        <v>3</v>
      </c>
      <c r="C11" s="18">
        <v>4</v>
      </c>
      <c r="D11" s="26">
        <v>0</v>
      </c>
      <c r="E11" s="22">
        <v>1.7999999999999999E-2</v>
      </c>
      <c r="F11" s="8" t="str">
        <f t="shared" si="0"/>
        <v/>
      </c>
      <c r="G11" s="7" t="str">
        <f t="shared" si="0"/>
        <v/>
      </c>
      <c r="H11" s="7">
        <f t="shared" si="0"/>
        <v>-1</v>
      </c>
      <c r="I11" s="7">
        <f t="shared" si="0"/>
        <v>1.018</v>
      </c>
      <c r="J11" s="7" t="str">
        <f t="shared" si="0"/>
        <v/>
      </c>
      <c r="K11" s="7" t="str">
        <f t="shared" si="0"/>
        <v/>
      </c>
      <c r="L11" s="9" t="str">
        <f t="shared" si="0"/>
        <v/>
      </c>
    </row>
    <row r="12" spans="1:12" x14ac:dyDescent="0.25">
      <c r="A12" s="18" t="s">
        <v>7</v>
      </c>
      <c r="B12" s="18">
        <v>3</v>
      </c>
      <c r="C12" s="18">
        <v>5</v>
      </c>
      <c r="D12" s="26">
        <v>0</v>
      </c>
      <c r="E12" s="22">
        <v>3.5000000000000003E-2</v>
      </c>
      <c r="F12" s="8" t="str">
        <f t="shared" si="0"/>
        <v/>
      </c>
      <c r="G12" s="7" t="str">
        <f t="shared" si="0"/>
        <v/>
      </c>
      <c r="H12" s="7">
        <f t="shared" si="0"/>
        <v>-1</v>
      </c>
      <c r="I12" s="7" t="str">
        <f t="shared" si="0"/>
        <v>&lt;----&gt;</v>
      </c>
      <c r="J12" s="7">
        <f t="shared" si="0"/>
        <v>1.0349999999999999</v>
      </c>
      <c r="K12" s="7" t="str">
        <f t="shared" si="0"/>
        <v/>
      </c>
      <c r="L12" s="9" t="str">
        <f t="shared" si="0"/>
        <v/>
      </c>
    </row>
    <row r="13" spans="1:12" x14ac:dyDescent="0.25">
      <c r="A13" s="18" t="s">
        <v>6</v>
      </c>
      <c r="B13" s="18">
        <v>4</v>
      </c>
      <c r="C13" s="18">
        <v>5</v>
      </c>
      <c r="D13" s="26">
        <v>0</v>
      </c>
      <c r="E13" s="22">
        <v>1.7999999999999999E-2</v>
      </c>
      <c r="F13" s="8" t="str">
        <f t="shared" si="0"/>
        <v/>
      </c>
      <c r="G13" s="7" t="str">
        <f t="shared" si="0"/>
        <v/>
      </c>
      <c r="H13" s="7" t="str">
        <f t="shared" si="0"/>
        <v/>
      </c>
      <c r="I13" s="7">
        <f t="shared" si="0"/>
        <v>-1</v>
      </c>
      <c r="J13" s="7">
        <f t="shared" si="0"/>
        <v>1.018</v>
      </c>
      <c r="K13" s="7" t="str">
        <f t="shared" si="0"/>
        <v/>
      </c>
      <c r="L13" s="9" t="str">
        <f t="shared" si="0"/>
        <v/>
      </c>
    </row>
    <row r="14" spans="1:12" x14ac:dyDescent="0.25">
      <c r="A14" s="18" t="s">
        <v>8</v>
      </c>
      <c r="B14" s="18">
        <v>4</v>
      </c>
      <c r="C14" s="18">
        <v>7</v>
      </c>
      <c r="D14" s="26">
        <v>0</v>
      </c>
      <c r="E14" s="22">
        <v>5.8000000000000003E-2</v>
      </c>
      <c r="F14" s="8" t="str">
        <f t="shared" si="0"/>
        <v/>
      </c>
      <c r="G14" s="7" t="str">
        <f t="shared" si="0"/>
        <v/>
      </c>
      <c r="H14" s="7" t="str">
        <f t="shared" si="0"/>
        <v/>
      </c>
      <c r="I14" s="7">
        <f t="shared" si="0"/>
        <v>-1</v>
      </c>
      <c r="J14" s="7" t="str">
        <f t="shared" si="0"/>
        <v>&lt;----&gt;</v>
      </c>
      <c r="K14" s="7" t="str">
        <f t="shared" si="0"/>
        <v>&lt;----&gt;</v>
      </c>
      <c r="L14" s="9">
        <f t="shared" si="0"/>
        <v>1.0580000000000001</v>
      </c>
    </row>
    <row r="15" spans="1:12" x14ac:dyDescent="0.25">
      <c r="A15" s="18" t="s">
        <v>6</v>
      </c>
      <c r="B15" s="18">
        <v>5</v>
      </c>
      <c r="C15" s="18">
        <v>6</v>
      </c>
      <c r="D15" s="26">
        <v>0</v>
      </c>
      <c r="E15" s="22">
        <v>1.7999999999999999E-2</v>
      </c>
      <c r="F15" s="8" t="str">
        <f t="shared" si="0"/>
        <v/>
      </c>
      <c r="G15" s="7" t="str">
        <f t="shared" si="0"/>
        <v/>
      </c>
      <c r="H15" s="7" t="str">
        <f t="shared" si="0"/>
        <v/>
      </c>
      <c r="I15" s="7" t="str">
        <f t="shared" si="0"/>
        <v/>
      </c>
      <c r="J15" s="7">
        <f t="shared" si="0"/>
        <v>-1</v>
      </c>
      <c r="K15" s="7">
        <f t="shared" si="0"/>
        <v>1.018</v>
      </c>
      <c r="L15" s="9" t="str">
        <f t="shared" si="0"/>
        <v/>
      </c>
    </row>
    <row r="16" spans="1:12" x14ac:dyDescent="0.25">
      <c r="A16" s="18" t="s">
        <v>7</v>
      </c>
      <c r="B16" s="18">
        <v>5</v>
      </c>
      <c r="C16" s="18">
        <v>7</v>
      </c>
      <c r="D16" s="26">
        <v>0</v>
      </c>
      <c r="E16" s="22">
        <v>3.5000000000000003E-2</v>
      </c>
      <c r="F16" s="8" t="str">
        <f t="shared" si="0"/>
        <v/>
      </c>
      <c r="G16" s="7" t="str">
        <f t="shared" si="0"/>
        <v/>
      </c>
      <c r="H16" s="7" t="str">
        <f t="shared" si="0"/>
        <v/>
      </c>
      <c r="I16" s="7" t="str">
        <f t="shared" si="0"/>
        <v/>
      </c>
      <c r="J16" s="7">
        <f t="shared" si="0"/>
        <v>-1</v>
      </c>
      <c r="K16" s="7" t="str">
        <f t="shared" si="0"/>
        <v>&lt;----&gt;</v>
      </c>
      <c r="L16" s="9">
        <f t="shared" si="0"/>
        <v>1.0349999999999999</v>
      </c>
    </row>
    <row r="17" spans="1:12" ht="13.8" thickBot="1" x14ac:dyDescent="0.3">
      <c r="A17" s="18" t="s">
        <v>6</v>
      </c>
      <c r="B17" s="18">
        <v>6</v>
      </c>
      <c r="C17" s="18">
        <v>7</v>
      </c>
      <c r="D17" s="26">
        <v>0</v>
      </c>
      <c r="E17" s="23">
        <v>1.7999999999999999E-2</v>
      </c>
      <c r="F17" s="10" t="str">
        <f t="shared" si="0"/>
        <v/>
      </c>
      <c r="G17" s="11" t="str">
        <f t="shared" si="0"/>
        <v/>
      </c>
      <c r="H17" s="11" t="str">
        <f t="shared" si="0"/>
        <v/>
      </c>
      <c r="I17" s="11" t="str">
        <f t="shared" si="0"/>
        <v/>
      </c>
      <c r="J17" s="11" t="str">
        <f t="shared" si="0"/>
        <v/>
      </c>
      <c r="K17" s="11">
        <f t="shared" si="0"/>
        <v>-1</v>
      </c>
      <c r="L17" s="12">
        <f t="shared" si="0"/>
        <v>1.018</v>
      </c>
    </row>
    <row r="18" spans="1:12" ht="14.4" thickTop="1" thickBot="1" x14ac:dyDescent="0.3">
      <c r="A18" s="25"/>
      <c r="B18" s="20"/>
      <c r="C18" s="24" t="s">
        <v>13</v>
      </c>
      <c r="D18" s="27">
        <f>SUMIF(B6:B17,1,D6:D17)</f>
        <v>0</v>
      </c>
      <c r="E18" s="13"/>
      <c r="F18" s="14" t="s">
        <v>10</v>
      </c>
      <c r="G18" s="28">
        <f t="shared" ref="G18:L18" si="1">SUMPRODUCT(G6:G17,$D$6:$D$17)</f>
        <v>0</v>
      </c>
      <c r="H18" s="28">
        <f t="shared" si="1"/>
        <v>0</v>
      </c>
      <c r="I18" s="28">
        <f t="shared" si="1"/>
        <v>0</v>
      </c>
      <c r="J18" s="28">
        <f t="shared" si="1"/>
        <v>0</v>
      </c>
      <c r="K18" s="28">
        <f t="shared" si="1"/>
        <v>0</v>
      </c>
      <c r="L18" s="28">
        <f t="shared" si="1"/>
        <v>0</v>
      </c>
    </row>
    <row r="19" spans="1:12" ht="13.8" thickTop="1" x14ac:dyDescent="0.25">
      <c r="A19" s="17"/>
      <c r="B19" s="17"/>
      <c r="C19" s="17"/>
      <c r="E19" s="15"/>
      <c r="F19" s="16" t="s">
        <v>11</v>
      </c>
      <c r="G19" s="19">
        <v>0</v>
      </c>
      <c r="H19" s="19">
        <v>250</v>
      </c>
      <c r="I19" s="19">
        <v>0</v>
      </c>
      <c r="J19" s="19">
        <v>250</v>
      </c>
      <c r="K19" s="19">
        <v>0</v>
      </c>
      <c r="L19" s="19">
        <v>300</v>
      </c>
    </row>
    <row r="24" spans="1:12" x14ac:dyDescent="0.25">
      <c r="E24" s="2"/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3:L24"/>
  <sheetViews>
    <sheetView tabSelected="1" workbookViewId="0">
      <selection activeCell="L29" sqref="L29"/>
    </sheetView>
  </sheetViews>
  <sheetFormatPr defaultRowHeight="13.2" x14ac:dyDescent="0.25"/>
  <cols>
    <col min="1" max="1" width="10.88671875" bestFit="1" customWidth="1"/>
    <col min="2" max="3" width="8.109375" customWidth="1"/>
    <col min="4" max="4" width="10.88671875" customWidth="1"/>
    <col min="5" max="5" width="8.109375" customWidth="1"/>
    <col min="6" max="12" width="6.33203125" customWidth="1"/>
  </cols>
  <sheetData>
    <row r="3" spans="1:12" x14ac:dyDescent="0.25">
      <c r="E3" s="1"/>
    </row>
    <row r="4" spans="1:12" x14ac:dyDescent="0.25">
      <c r="A4" s="3"/>
      <c r="B4" s="4" t="s">
        <v>0</v>
      </c>
      <c r="C4" s="4"/>
      <c r="D4" s="3"/>
      <c r="E4" s="3"/>
      <c r="F4" s="5" t="s">
        <v>12</v>
      </c>
      <c r="G4" s="4"/>
      <c r="H4" s="4"/>
      <c r="I4" s="4"/>
      <c r="J4" s="4"/>
      <c r="K4" s="4"/>
      <c r="L4" s="4"/>
    </row>
    <row r="5" spans="1:12" ht="13.8" thickBot="1" x14ac:dyDescent="0.3">
      <c r="A5" s="6" t="s">
        <v>1</v>
      </c>
      <c r="B5" s="6" t="s">
        <v>2</v>
      </c>
      <c r="C5" s="6" t="s">
        <v>3</v>
      </c>
      <c r="D5" s="6" t="s">
        <v>4</v>
      </c>
      <c r="E5" s="6" t="s">
        <v>5</v>
      </c>
      <c r="F5" s="6">
        <v>1</v>
      </c>
      <c r="G5" s="6">
        <v>2</v>
      </c>
      <c r="H5" s="6">
        <v>3</v>
      </c>
      <c r="I5" s="6">
        <v>4</v>
      </c>
      <c r="J5" s="6">
        <v>5</v>
      </c>
      <c r="K5" s="6">
        <v>6</v>
      </c>
      <c r="L5" s="6">
        <v>7</v>
      </c>
    </row>
    <row r="6" spans="1:12" x14ac:dyDescent="0.25">
      <c r="A6" s="18" t="s">
        <v>6</v>
      </c>
      <c r="B6" s="18">
        <v>1</v>
      </c>
      <c r="C6" s="18">
        <v>2</v>
      </c>
      <c r="D6" s="26">
        <v>241.23729644396926</v>
      </c>
      <c r="E6" s="21">
        <v>1.7999999999999999E-2</v>
      </c>
      <c r="F6" s="8">
        <f t="shared" ref="F6:L17" si="0">IF($B6=F$5,-1,IF($C6=F$5,1+$E6,IF(AND($B6&lt;F$5,$C6&gt;F$5),"&lt;----&gt;","")))</f>
        <v>-1</v>
      </c>
      <c r="G6" s="7">
        <f t="shared" si="0"/>
        <v>1.018</v>
      </c>
      <c r="H6" s="7" t="str">
        <f t="shared" si="0"/>
        <v/>
      </c>
      <c r="I6" s="7" t="str">
        <f t="shared" si="0"/>
        <v/>
      </c>
      <c r="J6" s="7" t="str">
        <f t="shared" si="0"/>
        <v/>
      </c>
      <c r="K6" s="7" t="str">
        <f t="shared" si="0"/>
        <v/>
      </c>
      <c r="L6" s="9" t="str">
        <f t="shared" si="0"/>
        <v/>
      </c>
    </row>
    <row r="7" spans="1:12" x14ac:dyDescent="0.25">
      <c r="A7" s="18" t="s">
        <v>7</v>
      </c>
      <c r="B7" s="18">
        <v>1</v>
      </c>
      <c r="C7" s="18">
        <v>3</v>
      </c>
      <c r="D7" s="26">
        <v>0</v>
      </c>
      <c r="E7" s="22">
        <v>3.5000000000000003E-2</v>
      </c>
      <c r="F7" s="8">
        <f t="shared" si="0"/>
        <v>-1</v>
      </c>
      <c r="G7" s="7" t="str">
        <f t="shared" si="0"/>
        <v>&lt;----&gt;</v>
      </c>
      <c r="H7" s="7">
        <f t="shared" si="0"/>
        <v>1.0349999999999999</v>
      </c>
      <c r="I7" s="7" t="str">
        <f t="shared" si="0"/>
        <v/>
      </c>
      <c r="J7" s="7" t="str">
        <f t="shared" si="0"/>
        <v/>
      </c>
      <c r="K7" s="7" t="str">
        <f t="shared" si="0"/>
        <v/>
      </c>
      <c r="L7" s="9" t="str">
        <f t="shared" si="0"/>
        <v/>
      </c>
    </row>
    <row r="8" spans="1:12" x14ac:dyDescent="0.25">
      <c r="A8" s="18" t="s">
        <v>8</v>
      </c>
      <c r="B8" s="18">
        <v>1</v>
      </c>
      <c r="C8" s="18">
        <v>4</v>
      </c>
      <c r="D8" s="26">
        <v>500.12612761460832</v>
      </c>
      <c r="E8" s="22">
        <v>5.8000000000000003E-2</v>
      </c>
      <c r="F8" s="8">
        <f t="shared" si="0"/>
        <v>-1</v>
      </c>
      <c r="G8" s="7" t="str">
        <f t="shared" si="0"/>
        <v>&lt;----&gt;</v>
      </c>
      <c r="H8" s="7" t="str">
        <f t="shared" si="0"/>
        <v>&lt;----&gt;</v>
      </c>
      <c r="I8" s="7">
        <f t="shared" si="0"/>
        <v>1.0580000000000001</v>
      </c>
      <c r="J8" s="7" t="str">
        <f t="shared" si="0"/>
        <v/>
      </c>
      <c r="K8" s="7" t="str">
        <f t="shared" si="0"/>
        <v/>
      </c>
      <c r="L8" s="9" t="str">
        <f t="shared" si="0"/>
        <v/>
      </c>
    </row>
    <row r="9" spans="1:12" x14ac:dyDescent="0.25">
      <c r="A9" s="18" t="s">
        <v>9</v>
      </c>
      <c r="B9" s="18">
        <v>1</v>
      </c>
      <c r="C9" s="18">
        <v>7</v>
      </c>
      <c r="D9" s="26">
        <v>0</v>
      </c>
      <c r="E9" s="22">
        <v>0.11</v>
      </c>
      <c r="F9" s="8">
        <f t="shared" si="0"/>
        <v>-1</v>
      </c>
      <c r="G9" s="7" t="str">
        <f t="shared" si="0"/>
        <v>&lt;----&gt;</v>
      </c>
      <c r="H9" s="7" t="str">
        <f t="shared" si="0"/>
        <v>&lt;----&gt;</v>
      </c>
      <c r="I9" s="7" t="str">
        <f t="shared" si="0"/>
        <v>&lt;----&gt;</v>
      </c>
      <c r="J9" s="7" t="str">
        <f t="shared" si="0"/>
        <v>&lt;----&gt;</v>
      </c>
      <c r="K9" s="7" t="str">
        <f t="shared" si="0"/>
        <v>&lt;----&gt;</v>
      </c>
      <c r="L9" s="9">
        <f t="shared" si="0"/>
        <v>1.1100000000000001</v>
      </c>
    </row>
    <row r="10" spans="1:12" x14ac:dyDescent="0.25">
      <c r="A10" s="18" t="s">
        <v>6</v>
      </c>
      <c r="B10" s="18">
        <v>2</v>
      </c>
      <c r="C10" s="18">
        <v>3</v>
      </c>
      <c r="D10" s="26">
        <v>245.57956777996071</v>
      </c>
      <c r="E10" s="22">
        <v>1.7999999999999999E-2</v>
      </c>
      <c r="F10" s="8" t="str">
        <f t="shared" si="0"/>
        <v/>
      </c>
      <c r="G10" s="7">
        <f t="shared" si="0"/>
        <v>-1</v>
      </c>
      <c r="H10" s="7">
        <f t="shared" si="0"/>
        <v>1.018</v>
      </c>
      <c r="I10" s="7" t="str">
        <f t="shared" si="0"/>
        <v/>
      </c>
      <c r="J10" s="7" t="str">
        <f t="shared" si="0"/>
        <v/>
      </c>
      <c r="K10" s="7" t="str">
        <f t="shared" si="0"/>
        <v/>
      </c>
      <c r="L10" s="9" t="str">
        <f t="shared" si="0"/>
        <v/>
      </c>
    </row>
    <row r="11" spans="1:12" x14ac:dyDescent="0.25">
      <c r="A11" s="18" t="s">
        <v>6</v>
      </c>
      <c r="B11" s="18">
        <v>3</v>
      </c>
      <c r="C11" s="18">
        <v>4</v>
      </c>
      <c r="D11" s="26">
        <v>0</v>
      </c>
      <c r="E11" s="22">
        <v>1.7999999999999999E-2</v>
      </c>
      <c r="F11" s="8" t="str">
        <f t="shared" si="0"/>
        <v/>
      </c>
      <c r="G11" s="7" t="str">
        <f t="shared" si="0"/>
        <v/>
      </c>
      <c r="H11" s="7">
        <f t="shared" si="0"/>
        <v>-1</v>
      </c>
      <c r="I11" s="7">
        <f t="shared" si="0"/>
        <v>1.018</v>
      </c>
      <c r="J11" s="7" t="str">
        <f t="shared" si="0"/>
        <v/>
      </c>
      <c r="K11" s="7" t="str">
        <f t="shared" si="0"/>
        <v/>
      </c>
      <c r="L11" s="9" t="str">
        <f t="shared" si="0"/>
        <v/>
      </c>
    </row>
    <row r="12" spans="1:12" x14ac:dyDescent="0.25">
      <c r="A12" s="18" t="s">
        <v>7</v>
      </c>
      <c r="B12" s="18">
        <v>3</v>
      </c>
      <c r="C12" s="18">
        <v>5</v>
      </c>
      <c r="D12" s="26">
        <v>0</v>
      </c>
      <c r="E12" s="22">
        <v>3.5000000000000003E-2</v>
      </c>
      <c r="F12" s="8" t="str">
        <f t="shared" si="0"/>
        <v/>
      </c>
      <c r="G12" s="7" t="str">
        <f t="shared" si="0"/>
        <v/>
      </c>
      <c r="H12" s="7">
        <f t="shared" si="0"/>
        <v>-1</v>
      </c>
      <c r="I12" s="7" t="str">
        <f t="shared" si="0"/>
        <v>&lt;----&gt;</v>
      </c>
      <c r="J12" s="7">
        <f t="shared" si="0"/>
        <v>1.0349999999999999</v>
      </c>
      <c r="K12" s="7" t="str">
        <f t="shared" si="0"/>
        <v/>
      </c>
      <c r="L12" s="9" t="str">
        <f t="shared" si="0"/>
        <v/>
      </c>
    </row>
    <row r="13" spans="1:12" x14ac:dyDescent="0.25">
      <c r="A13" s="18" t="s">
        <v>6</v>
      </c>
      <c r="B13" s="18">
        <v>4</v>
      </c>
      <c r="C13" s="18">
        <v>5</v>
      </c>
      <c r="D13" s="26">
        <v>245.57956777996068</v>
      </c>
      <c r="E13" s="22">
        <v>1.7999999999999999E-2</v>
      </c>
      <c r="F13" s="8" t="str">
        <f t="shared" si="0"/>
        <v/>
      </c>
      <c r="G13" s="7" t="str">
        <f t="shared" si="0"/>
        <v/>
      </c>
      <c r="H13" s="7" t="str">
        <f t="shared" si="0"/>
        <v/>
      </c>
      <c r="I13" s="7">
        <f t="shared" si="0"/>
        <v>-1</v>
      </c>
      <c r="J13" s="7">
        <f t="shared" si="0"/>
        <v>1.018</v>
      </c>
      <c r="K13" s="7" t="str">
        <f t="shared" si="0"/>
        <v/>
      </c>
      <c r="L13" s="9" t="str">
        <f t="shared" si="0"/>
        <v/>
      </c>
    </row>
    <row r="14" spans="1:12" x14ac:dyDescent="0.25">
      <c r="A14" s="18" t="s">
        <v>8</v>
      </c>
      <c r="B14" s="18">
        <v>4</v>
      </c>
      <c r="C14" s="18">
        <v>7</v>
      </c>
      <c r="D14" s="26">
        <v>283.55387523629491</v>
      </c>
      <c r="E14" s="22">
        <v>5.8000000000000003E-2</v>
      </c>
      <c r="F14" s="8" t="str">
        <f t="shared" si="0"/>
        <v/>
      </c>
      <c r="G14" s="7" t="str">
        <f t="shared" si="0"/>
        <v/>
      </c>
      <c r="H14" s="7" t="str">
        <f t="shared" si="0"/>
        <v/>
      </c>
      <c r="I14" s="7">
        <f t="shared" si="0"/>
        <v>-1</v>
      </c>
      <c r="J14" s="7" t="str">
        <f t="shared" si="0"/>
        <v>&lt;----&gt;</v>
      </c>
      <c r="K14" s="7" t="str">
        <f t="shared" si="0"/>
        <v>&lt;----&gt;</v>
      </c>
      <c r="L14" s="9">
        <f t="shared" si="0"/>
        <v>1.0580000000000001</v>
      </c>
    </row>
    <row r="15" spans="1:12" x14ac:dyDescent="0.25">
      <c r="A15" s="18" t="s">
        <v>6</v>
      </c>
      <c r="B15" s="18">
        <v>5</v>
      </c>
      <c r="C15" s="18">
        <v>6</v>
      </c>
      <c r="D15" s="26">
        <v>0</v>
      </c>
      <c r="E15" s="22">
        <v>1.7999999999999999E-2</v>
      </c>
      <c r="F15" s="8" t="str">
        <f t="shared" si="0"/>
        <v/>
      </c>
      <c r="G15" s="7" t="str">
        <f t="shared" si="0"/>
        <v/>
      </c>
      <c r="H15" s="7" t="str">
        <f t="shared" si="0"/>
        <v/>
      </c>
      <c r="I15" s="7" t="str">
        <f t="shared" si="0"/>
        <v/>
      </c>
      <c r="J15" s="7">
        <f t="shared" si="0"/>
        <v>-1</v>
      </c>
      <c r="K15" s="7">
        <f t="shared" si="0"/>
        <v>1.018</v>
      </c>
      <c r="L15" s="9" t="str">
        <f t="shared" si="0"/>
        <v/>
      </c>
    </row>
    <row r="16" spans="1:12" x14ac:dyDescent="0.25">
      <c r="A16" s="18" t="s">
        <v>7</v>
      </c>
      <c r="B16" s="18">
        <v>5</v>
      </c>
      <c r="C16" s="18">
        <v>7</v>
      </c>
      <c r="D16" s="26">
        <v>0</v>
      </c>
      <c r="E16" s="22">
        <v>3.5000000000000003E-2</v>
      </c>
      <c r="F16" s="8" t="str">
        <f t="shared" si="0"/>
        <v/>
      </c>
      <c r="G16" s="7" t="str">
        <f t="shared" si="0"/>
        <v/>
      </c>
      <c r="H16" s="7" t="str">
        <f t="shared" si="0"/>
        <v/>
      </c>
      <c r="I16" s="7" t="str">
        <f t="shared" si="0"/>
        <v/>
      </c>
      <c r="J16" s="7">
        <f t="shared" si="0"/>
        <v>-1</v>
      </c>
      <c r="K16" s="7" t="str">
        <f t="shared" si="0"/>
        <v>&lt;----&gt;</v>
      </c>
      <c r="L16" s="9">
        <f t="shared" si="0"/>
        <v>1.0349999999999999</v>
      </c>
    </row>
    <row r="17" spans="1:12" ht="13.8" thickBot="1" x14ac:dyDescent="0.3">
      <c r="A17" s="18" t="s">
        <v>6</v>
      </c>
      <c r="B17" s="18">
        <v>6</v>
      </c>
      <c r="C17" s="18">
        <v>7</v>
      </c>
      <c r="D17" s="26">
        <v>0</v>
      </c>
      <c r="E17" s="23">
        <v>1.7999999999999999E-2</v>
      </c>
      <c r="F17" s="10" t="str">
        <f t="shared" si="0"/>
        <v/>
      </c>
      <c r="G17" s="11" t="str">
        <f t="shared" si="0"/>
        <v/>
      </c>
      <c r="H17" s="11" t="str">
        <f t="shared" si="0"/>
        <v/>
      </c>
      <c r="I17" s="11" t="str">
        <f t="shared" si="0"/>
        <v/>
      </c>
      <c r="J17" s="11" t="str">
        <f t="shared" si="0"/>
        <v/>
      </c>
      <c r="K17" s="11">
        <f t="shared" si="0"/>
        <v>-1</v>
      </c>
      <c r="L17" s="12">
        <f t="shared" si="0"/>
        <v>1.018</v>
      </c>
    </row>
    <row r="18" spans="1:12" ht="14.4" thickTop="1" thickBot="1" x14ac:dyDescent="0.3">
      <c r="A18" s="25"/>
      <c r="B18" s="20"/>
      <c r="C18" s="24" t="s">
        <v>13</v>
      </c>
      <c r="D18" s="27">
        <f>SUMIF(B6:B17,1,D6:D17)</f>
        <v>741.36342405857761</v>
      </c>
      <c r="E18" s="13"/>
      <c r="F18" s="14" t="s">
        <v>10</v>
      </c>
      <c r="G18" s="28">
        <f t="shared" ref="G18:L18" si="1">SUMPRODUCT(G6:G17,$D$6:$D$17)</f>
        <v>0</v>
      </c>
      <c r="H18" s="28">
        <f t="shared" si="1"/>
        <v>250</v>
      </c>
      <c r="I18" s="28">
        <f t="shared" si="1"/>
        <v>5.6843418860808015E-14</v>
      </c>
      <c r="J18" s="28">
        <f t="shared" si="1"/>
        <v>249.99999999999997</v>
      </c>
      <c r="K18" s="28">
        <f t="shared" si="1"/>
        <v>0</v>
      </c>
      <c r="L18" s="28">
        <f t="shared" si="1"/>
        <v>300.00000000000006</v>
      </c>
    </row>
    <row r="19" spans="1:12" ht="13.8" thickTop="1" x14ac:dyDescent="0.25">
      <c r="A19" s="17"/>
      <c r="B19" s="17"/>
      <c r="C19" s="17"/>
      <c r="E19" s="15"/>
      <c r="F19" s="16" t="s">
        <v>11</v>
      </c>
      <c r="G19" s="19">
        <v>0</v>
      </c>
      <c r="H19" s="19">
        <v>250</v>
      </c>
      <c r="I19" s="19">
        <v>0</v>
      </c>
      <c r="J19" s="19">
        <v>250</v>
      </c>
      <c r="K19" s="19">
        <v>0</v>
      </c>
      <c r="L19" s="19">
        <v>300</v>
      </c>
    </row>
    <row r="24" spans="1:12" x14ac:dyDescent="0.25">
      <c r="E24" s="2"/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Funding Report</vt:lpstr>
      <vt:lpstr>Funding Report (Soln)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Ragsdale</dc:creator>
  <cp:lastModifiedBy>Poh Lim</cp:lastModifiedBy>
  <dcterms:created xsi:type="dcterms:W3CDTF">1996-10-11T07:57:42Z</dcterms:created>
  <dcterms:modified xsi:type="dcterms:W3CDTF">2018-07-27T12:18:24Z</dcterms:modified>
</cp:coreProperties>
</file>