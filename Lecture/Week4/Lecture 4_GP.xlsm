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Lecture\Week 4\"/>
    </mc:Choice>
  </mc:AlternateContent>
  <bookViews>
    <workbookView xWindow="120" yWindow="96" windowWidth="9432" windowHeight="5472" firstSheet="1" activeTab="1"/>
  </bookViews>
  <sheets>
    <sheet name="Module1" sheetId="1" state="veryHidden" r:id=""/>
    <sheet name="Expansion Plan Analysis" sheetId="2" r:id="rId1"/>
  </sheets>
  <definedNames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bd" localSheetId="1" hidden="1">2</definedName>
    <definedName name="solver_itr" localSheetId="1" hidden="1">1000</definedName>
    <definedName name="solver_lhs1" localSheetId="1" hidden="1">'Expansion Plan Analysis'!$B$10:$F$11</definedName>
    <definedName name="solver_lhs2" localSheetId="1" hidden="1">'Expansion Plan Analysis'!$B$12:$F$12</definedName>
    <definedName name="solver_lhs3" localSheetId="1" hidden="1">'Expansion Plan Analysis'!$B$9:$D$9</definedName>
    <definedName name="solver_lhs4" localSheetId="1" hidden="1">'Expansion Plan Analysis'!$B$9:$D$9</definedName>
    <definedName name="solver_lin" localSheetId="1" hidden="1">1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neg" localSheetId="1" hidden="1">2</definedName>
    <definedName name="solver_nod" localSheetId="1" hidden="1">1000</definedName>
    <definedName name="solver_num" localSheetId="1" hidden="1">0</definedName>
    <definedName name="solver_nwt" localSheetId="1" hidden="1">1</definedName>
    <definedName name="solver_ofx" localSheetId="1" hidden="1">2</definedName>
    <definedName name="solver_piv" localSheetId="1" hidden="1">0.000001</definedName>
    <definedName name="solver_pre" localSheetId="1" hidden="1">0.00000001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3</definedName>
    <definedName name="solver_rel2" localSheetId="1" hidden="1">2</definedName>
    <definedName name="solver_rel3" localSheetId="1" hidden="1">4</definedName>
    <definedName name="solver_rel4" localSheetId="1" hidden="1">3</definedName>
    <definedName name="solver_reo" localSheetId="1" hidden="1">2</definedName>
    <definedName name="solver_rep" localSheetId="1" hidden="1">2</definedName>
    <definedName name="solver_rhs1" localSheetId="1" hidden="1">0</definedName>
    <definedName name="solver_rhs2" localSheetId="1" hidden="1">'Expansion Plan Analysis'!$B$13:$F$13</definedName>
    <definedName name="solver_rhs3" localSheetId="1" hidden="1">Integer</definedName>
    <definedName name="solver_rhs4" localSheetId="1" hidden="1">0</definedName>
    <definedName name="solver_rlx" localSheetId="1" hidden="1">2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std" localSheetId="1" hidden="1">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62913"/>
</workbook>
</file>

<file path=xl/calcChain.xml><?xml version="1.0" encoding="utf-8"?>
<calcChain xmlns="http://schemas.openxmlformats.org/spreadsheetml/2006/main">
  <c r="C16" i="2" l="1"/>
  <c r="D16" i="2"/>
  <c r="E16" i="2"/>
  <c r="F16" i="2"/>
  <c r="C17" i="2"/>
  <c r="D17" i="2"/>
  <c r="E17" i="2"/>
  <c r="F17" i="2"/>
  <c r="B17" i="2"/>
  <c r="B16" i="2"/>
  <c r="C12" i="2"/>
  <c r="D12" i="2"/>
  <c r="B12" i="2"/>
  <c r="B5" i="2"/>
  <c r="B6" i="2" s="1"/>
  <c r="F9" i="2" s="1"/>
  <c r="F12" i="2" s="1"/>
  <c r="C5" i="2"/>
  <c r="D5" i="2"/>
  <c r="C6" i="2"/>
  <c r="D6" i="2"/>
  <c r="B23" i="2"/>
  <c r="E9" i="2"/>
  <c r="E12" i="2" s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23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<sst xmlns="http://schemas.openxmlformats.org/spreadsheetml/2006/main" count="24" uniqueCount="19">
  <si>
    <t>Small</t>
  </si>
  <si>
    <t>Medium</t>
  </si>
  <si>
    <t>Large</t>
  </si>
  <si>
    <t>Square Footage</t>
  </si>
  <si>
    <t>Building Cost</t>
  </si>
  <si>
    <t>Sq. Ft.</t>
  </si>
  <si>
    <t>Cost</t>
  </si>
  <si>
    <t>Actual Amount</t>
  </si>
  <si>
    <t>+ Under</t>
  </si>
  <si>
    <t>- Over</t>
  </si>
  <si>
    <t>= Goal</t>
  </si>
  <si>
    <t>Target Value</t>
  </si>
  <si>
    <t>Under</t>
  </si>
  <si>
    <t>Over</t>
  </si>
  <si>
    <t>Problem Data</t>
  </si>
  <si>
    <t>Goal Constraints</t>
  </si>
  <si>
    <t>Percentage Deviation</t>
  </si>
  <si>
    <t>Weights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</si>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</sst>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_);\(&quot;$&quot;#,##0\)"/>
    <numFmt numFmtId="175" formatCode="&quot;$&quot;#,##0"/>
  </numFmts>
  <fonts count="10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37" fontId="1" fillId="0" borderId="0" xfId="0" applyNumberFormat="1" applyFont="1"/>
    <xf numFmtId="164" fontId="1" fillId="0" borderId="0" xfId="0" applyNumberFormat="1" applyFont="1"/>
    <xf numFmtId="37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37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quotePrefix="1" applyFont="1"/>
    <xf numFmtId="0" fontId="3" fillId="0" borderId="0" xfId="0" applyFont="1"/>
    <xf numFmtId="0" fontId="3" fillId="0" borderId="0" xfId="0" applyFont="1" applyAlignment="1">
      <alignment horizontal="left"/>
    </xf>
    <xf numFmtId="0" fontId="5" fillId="0" borderId="0" xfId="0" applyFont="1"/>
    <xf numFmtId="175" fontId="3" fillId="0" borderId="0" xfId="0" applyNumberFormat="1" applyFont="1" applyAlignment="1">
      <alignment horizontal="center"/>
    </xf>
    <xf numFmtId="37" fontId="7" fillId="2" borderId="1" xfId="0" applyNumberFormat="1" applyFont="1" applyFill="1" applyBorder="1" applyAlignment="1">
      <alignment horizontal="center"/>
    </xf>
    <xf numFmtId="175" fontId="7" fillId="2" borderId="1" xfId="0" applyNumberFormat="1" applyFont="1" applyFill="1" applyBorder="1" applyAlignment="1">
      <alignment horizontal="center"/>
    </xf>
    <xf numFmtId="37" fontId="8" fillId="2" borderId="2" xfId="0" applyNumberFormat="1" applyFont="1" applyFill="1" applyBorder="1" applyAlignment="1">
      <alignment horizontal="center"/>
    </xf>
    <xf numFmtId="175" fontId="8" fillId="2" borderId="2" xfId="0" applyNumberFormat="1" applyFont="1" applyFill="1" applyBorder="1" applyAlignment="1">
      <alignment horizontal="center"/>
    </xf>
    <xf numFmtId="2" fontId="9" fillId="2" borderId="3" xfId="0" applyNumberFormat="1" applyFont="1" applyFill="1" applyBorder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0</xdr:row>
      <xdr:rowOff>60960</xdr:rowOff>
    </xdr:from>
    <xdr:to>
      <xdr:col>5</xdr:col>
      <xdr:colOff>335280</xdr:colOff>
      <xdr:row>2</xdr:row>
      <xdr:rowOff>60960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066800" y="60960"/>
          <a:ext cx="3048000" cy="33528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Davis McKeown Hotel Expansion</a:t>
          </a:r>
        </a:p>
      </xdr:txBody>
    </xdr:sp>
    <xdr:clientData/>
  </xdr:twoCellAnchor>
  <xdr:twoCellAnchor>
    <xdr:from>
      <xdr:col>5</xdr:col>
      <xdr:colOff>487680</xdr:colOff>
      <xdr:row>1</xdr:row>
      <xdr:rowOff>91440</xdr:rowOff>
    </xdr:from>
    <xdr:to>
      <xdr:col>9</xdr:col>
      <xdr:colOff>266700</xdr:colOff>
      <xdr:row>6</xdr:row>
      <xdr:rowOff>106680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4267200" y="259080"/>
          <a:ext cx="2529840" cy="8534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B23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B9:D9,B10:F11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B12:F12=B13:F13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B9:D9&gt;=0 &amp; integer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B10:F11&gt;=0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4"/>
  <sheetViews>
    <sheetView tabSelected="1" zoomScale="105" workbookViewId="0">
      <selection activeCell="B23" sqref="B23"/>
    </sheetView>
  </sheetViews>
  <sheetFormatPr defaultColWidth="9.5546875" defaultRowHeight="13.2" x14ac:dyDescent="0.25"/>
  <cols>
    <col min="1" max="1" width="16.88671875" style="1" customWidth="1"/>
    <col min="2" max="5" width="9.5546875" style="4" customWidth="1"/>
    <col min="6" max="6" width="11.44140625" style="4" customWidth="1"/>
    <col min="7" max="16384" width="9.5546875" style="1"/>
  </cols>
  <sheetData>
    <row r="1" spans="1:9" s="25" customFormat="1" x14ac:dyDescent="0.25"/>
    <row r="2" spans="1:9" s="25" customFormat="1" x14ac:dyDescent="0.25"/>
    <row r="3" spans="1:9" s="25" customFormat="1" x14ac:dyDescent="0.25"/>
    <row r="4" spans="1:9" x14ac:dyDescent="0.25">
      <c r="A4" s="18" t="s">
        <v>14</v>
      </c>
      <c r="B4" s="3" t="s">
        <v>0</v>
      </c>
      <c r="C4" s="3" t="s">
        <v>1</v>
      </c>
      <c r="D4" s="3" t="s">
        <v>2</v>
      </c>
      <c r="G4" s="4"/>
      <c r="H4"/>
      <c r="I4" s="4"/>
    </row>
    <row r="5" spans="1:9" x14ac:dyDescent="0.25">
      <c r="A5" s="14" t="s">
        <v>3</v>
      </c>
      <c r="B5" s="10">
        <f>20*20</f>
        <v>400</v>
      </c>
      <c r="C5" s="10">
        <f>30*25</f>
        <v>750</v>
      </c>
      <c r="D5" s="10">
        <f>35*30</f>
        <v>1050</v>
      </c>
      <c r="E5" s="7"/>
      <c r="F5" s="7"/>
      <c r="G5" s="5"/>
      <c r="H5" s="5"/>
      <c r="I5" s="5"/>
    </row>
    <row r="6" spans="1:9" x14ac:dyDescent="0.25">
      <c r="A6" s="14" t="s">
        <v>4</v>
      </c>
      <c r="B6" s="11">
        <f>45*B5</f>
        <v>18000</v>
      </c>
      <c r="C6" s="11">
        <f>44*C5</f>
        <v>33000</v>
      </c>
      <c r="D6" s="11">
        <f>43*D5</f>
        <v>45150</v>
      </c>
      <c r="E6" s="8"/>
      <c r="F6" s="8"/>
      <c r="G6" s="6"/>
      <c r="H6" s="6"/>
      <c r="I6" s="6"/>
    </row>
    <row r="7" spans="1:9" x14ac:dyDescent="0.25">
      <c r="A7" s="17"/>
      <c r="B7" s="8"/>
      <c r="C7" s="8"/>
      <c r="D7" s="8"/>
      <c r="E7" s="8"/>
      <c r="F7" s="8"/>
      <c r="G7" s="6"/>
      <c r="H7" s="6"/>
      <c r="I7" s="6"/>
    </row>
    <row r="8" spans="1:9" x14ac:dyDescent="0.25">
      <c r="A8" s="16" t="s">
        <v>15</v>
      </c>
      <c r="B8" s="3" t="s">
        <v>0</v>
      </c>
      <c r="C8" s="3" t="s">
        <v>1</v>
      </c>
      <c r="D8" s="3" t="s">
        <v>2</v>
      </c>
      <c r="E8" s="3" t="s">
        <v>5</v>
      </c>
      <c r="F8" s="3" t="s">
        <v>6</v>
      </c>
    </row>
    <row r="9" spans="1:9" x14ac:dyDescent="0.25">
      <c r="A9" s="13" t="s">
        <v>7</v>
      </c>
      <c r="B9" s="20">
        <v>0</v>
      </c>
      <c r="C9" s="20">
        <v>0</v>
      </c>
      <c r="D9" s="20">
        <v>0</v>
      </c>
      <c r="E9" s="7">
        <f>SUMPRODUCT(B9:D9,B5:D5)</f>
        <v>0</v>
      </c>
      <c r="F9" s="8">
        <f>SUMPRODUCT(B9:D9,B6:D6)</f>
        <v>0</v>
      </c>
    </row>
    <row r="10" spans="1:9" x14ac:dyDescent="0.25">
      <c r="A10" s="15" t="s">
        <v>8</v>
      </c>
      <c r="B10" s="20">
        <v>0</v>
      </c>
      <c r="C10" s="20">
        <v>0</v>
      </c>
      <c r="D10" s="20">
        <v>0</v>
      </c>
      <c r="E10" s="20">
        <v>0</v>
      </c>
      <c r="F10" s="21">
        <v>0</v>
      </c>
    </row>
    <row r="11" spans="1:9" x14ac:dyDescent="0.25">
      <c r="A11" s="15" t="s">
        <v>9</v>
      </c>
      <c r="B11" s="20">
        <v>0</v>
      </c>
      <c r="C11" s="20">
        <v>0</v>
      </c>
      <c r="D11" s="20">
        <v>0</v>
      </c>
      <c r="E11" s="20">
        <v>0</v>
      </c>
      <c r="F11" s="21">
        <v>0</v>
      </c>
    </row>
    <row r="12" spans="1:9" x14ac:dyDescent="0.25">
      <c r="A12" s="15" t="s">
        <v>10</v>
      </c>
      <c r="B12" s="22">
        <f>B9+B10-B11</f>
        <v>0</v>
      </c>
      <c r="C12" s="22">
        <f>C9+C10-C11</f>
        <v>0</v>
      </c>
      <c r="D12" s="22">
        <f>D9+D10-D11</f>
        <v>0</v>
      </c>
      <c r="E12" s="22">
        <f>E9+E10-E11</f>
        <v>0</v>
      </c>
      <c r="F12" s="23">
        <f>F9+F10-F11</f>
        <v>0</v>
      </c>
    </row>
    <row r="13" spans="1:9" x14ac:dyDescent="0.25">
      <c r="A13" s="13" t="s">
        <v>11</v>
      </c>
      <c r="B13" s="10">
        <v>5</v>
      </c>
      <c r="C13" s="10">
        <v>10</v>
      </c>
      <c r="D13" s="10">
        <v>15</v>
      </c>
      <c r="E13" s="10">
        <v>25000</v>
      </c>
      <c r="F13" s="19">
        <v>1000000</v>
      </c>
    </row>
    <row r="14" spans="1:9" x14ac:dyDescent="0.25">
      <c r="A14" s="16"/>
    </row>
    <row r="15" spans="1:9" x14ac:dyDescent="0.25">
      <c r="A15" s="16" t="s">
        <v>16</v>
      </c>
    </row>
    <row r="16" spans="1:9" x14ac:dyDescent="0.25">
      <c r="A16" s="13" t="s">
        <v>12</v>
      </c>
      <c r="B16" s="9">
        <f>B10/B$13</f>
        <v>0</v>
      </c>
      <c r="C16" s="9">
        <f t="shared" ref="C16:F17" si="0">C10/C$13</f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</row>
    <row r="17" spans="1:6" x14ac:dyDescent="0.25">
      <c r="A17" s="13" t="s">
        <v>13</v>
      </c>
      <c r="B17" s="9">
        <f>B11/B$13</f>
        <v>0</v>
      </c>
      <c r="C17" s="9">
        <f t="shared" si="0"/>
        <v>0</v>
      </c>
      <c r="D17" s="9">
        <f t="shared" si="0"/>
        <v>0</v>
      </c>
      <c r="E17" s="9">
        <f t="shared" si="0"/>
        <v>0</v>
      </c>
      <c r="F17" s="9">
        <f t="shared" si="0"/>
        <v>0</v>
      </c>
    </row>
    <row r="18" spans="1:6" x14ac:dyDescent="0.25">
      <c r="A18" s="16"/>
    </row>
    <row r="19" spans="1:6" x14ac:dyDescent="0.25">
      <c r="A19" s="16" t="s">
        <v>17</v>
      </c>
    </row>
    <row r="20" spans="1:6" x14ac:dyDescent="0.25">
      <c r="A20" s="13" t="s">
        <v>12</v>
      </c>
      <c r="B20" s="12">
        <v>1</v>
      </c>
      <c r="C20" s="12">
        <v>1</v>
      </c>
      <c r="D20" s="12">
        <v>1</v>
      </c>
      <c r="E20" s="12">
        <v>1</v>
      </c>
      <c r="F20" s="12">
        <v>0</v>
      </c>
    </row>
    <row r="21" spans="1:6" x14ac:dyDescent="0.25">
      <c r="A21" s="13" t="s">
        <v>13</v>
      </c>
      <c r="B21" s="12">
        <v>0</v>
      </c>
      <c r="C21" s="12">
        <v>0</v>
      </c>
      <c r="D21" s="12">
        <v>0</v>
      </c>
      <c r="E21" s="12">
        <v>1</v>
      </c>
      <c r="F21" s="12">
        <v>1</v>
      </c>
    </row>
    <row r="22" spans="1:6" ht="13.8" thickBot="1" x14ac:dyDescent="0.3"/>
    <row r="23" spans="1:6" ht="14.4" thickTop="1" thickBot="1" x14ac:dyDescent="0.3">
      <c r="A23" s="2" t="s">
        <v>18</v>
      </c>
      <c r="B23" s="24">
        <f>SUMPRODUCT(B16:F17,B20:F21)</f>
        <v>0</v>
      </c>
    </row>
    <row r="24" spans="1:6" ht="13.8" thickTop="1" x14ac:dyDescent="0.25">
      <c r="A24"/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Expansion Plan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Cliff Ragsdale</dc:creator>
  <cp:keywords/>
  <dc:description/>
  <cp:lastModifiedBy>Poh Lim</cp:lastModifiedBy>
  <dcterms:created xsi:type="dcterms:W3CDTF">2009-03-24T05:51:30Z</dcterms:created>
  <dcterms:modified xsi:type="dcterms:W3CDTF">2018-08-08T06:40:11Z</dcterms:modified>
</cp:coreProperties>
</file>