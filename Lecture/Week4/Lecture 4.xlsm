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Lecture\Week 4\"/>
    </mc:Choice>
  </mc:AlternateContent>
  <bookViews>
    <workbookView xWindow="-12" yWindow="-12" windowWidth="9636" windowHeight="5196" tabRatio="806" firstSheet="1" activeTab="1"/>
  </bookViews>
  <sheets>
    <sheet name="Module1" sheetId="1" state="veryHidden" r:id=""/>
    <sheet name="Blue Ridge" sheetId="2" r:id="rId1"/>
    <sheet name="Blue Ridge - ILP" sheetId="3" r:id="rId2"/>
    <sheet name="Air Express" sheetId="12" r:id="rId3"/>
    <sheet name="CRT" sheetId="4" r:id="rId4"/>
    <sheet name="Remington" sheetId="6" r:id="rId5"/>
    <sheet name="Remington - min order" sheetId="10" r:id="rId6"/>
    <sheet name="Remington - with If" sheetId="8" r:id="rId7"/>
    <sheet name="B&amp;G" sheetId="13" r:id="rId8"/>
  </sheets>
  <externalReferences>
    <externalReference r:id="rId9"/>
  </externalReferences>
  <definedNames>
    <definedName name="_Regression_Int" localSheetId="1" hidden="1">1</definedName>
    <definedName name="solver_adj" localSheetId="3" hidden="1">'Air Express'!$I$5:$I$11</definedName>
    <definedName name="solver_adj" localSheetId="8" hidden="1">'B&amp;G'!$B$12:$E$14,'B&amp;G'!$B$21:$E$21,'B&amp;G'!$B$26:$E$26,'B&amp;G'!$B$31:$D$31</definedName>
    <definedName name="solver_adj" localSheetId="1" hidden="1">'Blue Ridge'!$B$5:$C$5</definedName>
    <definedName name="solver_adj" localSheetId="2" hidden="1">'Blue Ridge - ILP'!$B$5:$C$5</definedName>
    <definedName name="solver_adj" localSheetId="4" hidden="1">CRT!$B$6:$B$11</definedName>
    <definedName name="solver_adj" localSheetId="5" hidden="1">Remington!$B$5:$D$5,Remington!$B$15:$D$15</definedName>
    <definedName name="solver_adj" localSheetId="6" hidden="1">'Remington - min order'!$B$5:$D$5,'Remington - min order'!$B$15:$D$15</definedName>
    <definedName name="solver_adj" localSheetId="7" hidden="1">'Remington - with If'!$B$5:$D$5</definedName>
    <definedName name="solver_cvg" localSheetId="3" hidden="1">0.0001</definedName>
    <definedName name="solver_cvg" localSheetId="8" hidden="1">0.0001</definedName>
    <definedName name="solver_cvg" localSheetId="1" hidden="1">0.0001</definedName>
    <definedName name="solver_cvg" localSheetId="2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drv" localSheetId="3" hidden="1">1</definedName>
    <definedName name="solver_drv" localSheetId="8" hidden="1">1</definedName>
    <definedName name="solver_drv" localSheetId="1" hidden="1">1</definedName>
    <definedName name="solver_drv" localSheetId="2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eng" localSheetId="1" hidden="1">2</definedName>
    <definedName name="solver_eng" localSheetId="2" hidden="1">1</definedName>
    <definedName name="solver_est" localSheetId="3" hidden="1">1</definedName>
    <definedName name="solver_est" localSheetId="8" hidden="1">1</definedName>
    <definedName name="solver_est" localSheetId="1" hidden="1">1</definedName>
    <definedName name="solver_est" localSheetId="2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ibd" localSheetId="1" hidden="1">2</definedName>
    <definedName name="solver_itr" localSheetId="3" hidden="1">100</definedName>
    <definedName name="solver_itr" localSheetId="8" hidden="1">100</definedName>
    <definedName name="solver_itr" localSheetId="1" hidden="1">1000</definedName>
    <definedName name="solver_itr" localSheetId="2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lhs1" localSheetId="3" hidden="1">'Air Express'!$B$12:$H$12</definedName>
    <definedName name="solver_lhs1" localSheetId="8" hidden="1">'B&amp;G'!$F$12:$F$14</definedName>
    <definedName name="solver_lhs1" localSheetId="1" hidden="1">'Blue Ridge'!$B$5:$C$5</definedName>
    <definedName name="solver_lhs1" localSheetId="2" hidden="1">'Blue Ridge - ILP'!$D$9:$D$11</definedName>
    <definedName name="solver_lhs1" localSheetId="4" hidden="1">CRT!$B$6:$B$11</definedName>
    <definedName name="solver_lhs1" localSheetId="5" hidden="1">Remington!$B$5:$D$5</definedName>
    <definedName name="solver_lhs1" localSheetId="6" hidden="1">'Remington - min order'!$E$11:$E$13</definedName>
    <definedName name="solver_lhs1" localSheetId="7" hidden="1">'Remington - with If'!$E$11:$E$13</definedName>
    <definedName name="solver_lhs10" localSheetId="8" hidden="1">'B&amp;G'!$B$21:$E$21</definedName>
    <definedName name="solver_lhs11" localSheetId="8" hidden="1">'B&amp;G'!$B$26:$E$26</definedName>
    <definedName name="solver_lhs12" localSheetId="8" hidden="1">'B&amp;G'!$B$31:$D$31</definedName>
    <definedName name="solver_lhs2" localSheetId="3" hidden="1">'Air Express'!$I$5:$I$11</definedName>
    <definedName name="solver_lhs2" localSheetId="8" hidden="1">'B&amp;G'!$B$15:$E$15</definedName>
    <definedName name="solver_lhs2" localSheetId="1" hidden="1">'Blue Ridge'!$D$9:$D$11</definedName>
    <definedName name="solver_lhs2" localSheetId="2" hidden="1">'Blue Ridge - ILP'!$B$5:$C$5</definedName>
    <definedName name="solver_lhs2" localSheetId="4" hidden="1">CRT!$D$12:$H$12</definedName>
    <definedName name="solver_lhs2" localSheetId="5" hidden="1">Remington!$B$5:$D$5</definedName>
    <definedName name="solver_lhs2" localSheetId="6" hidden="1">'Remington - min order'!$B$5:$D$5</definedName>
    <definedName name="solver_lhs3" localSheetId="3" hidden="1">'Air Express'!$I$5:$I$11</definedName>
    <definedName name="solver_lhs3" localSheetId="8" hidden="1">'B&amp;G'!$B$22:$E$22</definedName>
    <definedName name="solver_lhs3" localSheetId="1" hidden="1">'Blue Ridge'!$D$9:$D$11</definedName>
    <definedName name="solver_lhs3" localSheetId="2" hidden="1">'Blue Ridge - ILP'!$B$5:$C$5</definedName>
    <definedName name="solver_lhs3" localSheetId="5" hidden="1">Remington!$B$15:$D$15</definedName>
    <definedName name="solver_lhs3" localSheetId="6" hidden="1">'Remington - min order'!$B$5:$D$5</definedName>
    <definedName name="solver_lhs4" localSheetId="8" hidden="1">'B&amp;G'!$B$23:$E$23</definedName>
    <definedName name="solver_lhs4" localSheetId="5" hidden="1">Remington!$B$16:$D$16</definedName>
    <definedName name="solver_lhs4" localSheetId="6" hidden="1">'Remington - min order'!$B$15:$D$15</definedName>
    <definedName name="solver_lhs5" localSheetId="8" hidden="1">'B&amp;G'!$B$27:$E$27</definedName>
    <definedName name="solver_lhs5" localSheetId="5" hidden="1">Remington!$E$11:$E$13</definedName>
    <definedName name="solver_lhs5" localSheetId="6" hidden="1">'Remington - min order'!$B$16:$D$16</definedName>
    <definedName name="solver_lhs6" localSheetId="8" hidden="1">'B&amp;G'!$E$28</definedName>
    <definedName name="solver_lhs6" localSheetId="6" hidden="1">'Remington - min order'!$D$17</definedName>
    <definedName name="solver_lhs7" localSheetId="8" hidden="1">'B&amp;G'!$D$32</definedName>
    <definedName name="solver_lhs7" localSheetId="6" hidden="1">'Remington - min order'!$D$19</definedName>
    <definedName name="solver_lhs8" localSheetId="8" hidden="1">'B&amp;G'!$D$33</definedName>
    <definedName name="solver_lhs9" localSheetId="8" hidden="1">'B&amp;G'!$B$12:$E$14</definedName>
    <definedName name="solver_lin" localSheetId="3" hidden="1">2</definedName>
    <definedName name="solver_lin" localSheetId="8" hidden="1">1</definedName>
    <definedName name="solver_lin" localSheetId="1" hidden="1">1</definedName>
    <definedName name="solver_lin" localSheetId="2" hidden="1">2</definedName>
    <definedName name="solver_lin" localSheetId="4" hidden="1">2</definedName>
    <definedName name="solver_lin" localSheetId="5" hidden="1">1</definedName>
    <definedName name="solver_lin" localSheetId="6" hidden="1">2</definedName>
    <definedName name="solver_lin" localSheetId="7" hidden="1">2</definedName>
    <definedName name="solver_lva" localSheetId="1" hidden="1">2</definedName>
    <definedName name="solver_mip" localSheetId="1" hidden="1">1000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2" hidden="1">2</definedName>
    <definedName name="solver_neg" localSheetId="3" hidden="1">2</definedName>
    <definedName name="solver_neg" localSheetId="8" hidden="1">2</definedName>
    <definedName name="solver_neg" localSheetId="1" hidden="1">2</definedName>
    <definedName name="solver_neg" localSheetId="2" hidden="1">2</definedName>
    <definedName name="solver_neg" localSheetId="4" hidden="1">2</definedName>
    <definedName name="solver_neg" localSheetId="5" hidden="1">2</definedName>
    <definedName name="solver_neg" localSheetId="6" hidden="1">2</definedName>
    <definedName name="solver_neg" localSheetId="7" hidden="1">2</definedName>
    <definedName name="solver_nod" localSheetId="1" hidden="1">1000</definedName>
    <definedName name="solver_nod" localSheetId="2" hidden="1">2147483647</definedName>
    <definedName name="solver_num" localSheetId="3" hidden="1">3</definedName>
    <definedName name="solver_num" localSheetId="8" hidden="1">12</definedName>
    <definedName name="solver_num" localSheetId="1" hidden="1">2</definedName>
    <definedName name="solver_num" localSheetId="2" hidden="1">3</definedName>
    <definedName name="solver_num" localSheetId="4" hidden="1">2</definedName>
    <definedName name="solver_num" localSheetId="5" hidden="1">5</definedName>
    <definedName name="solver_num" localSheetId="6" hidden="1">7</definedName>
    <definedName name="solver_num" localSheetId="7" hidden="1">1</definedName>
    <definedName name="solver_nwt" localSheetId="3" hidden="1">1</definedName>
    <definedName name="solver_nwt" localSheetId="8" hidden="1">1</definedName>
    <definedName name="solver_nwt" localSheetId="1" hidden="1">1</definedName>
    <definedName name="solver_nwt" localSheetId="2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ofx" localSheetId="1" hidden="1">2</definedName>
    <definedName name="solver_opt" localSheetId="3" hidden="1">'Air Express'!$J$12</definedName>
    <definedName name="solver_opt" localSheetId="8" hidden="1">'B&amp;G'!$G$17</definedName>
    <definedName name="solver_opt" localSheetId="1" hidden="1">'Blue Ridge'!$D$6</definedName>
    <definedName name="solver_opt" localSheetId="2" hidden="1">'Blue Ridge - ILP'!$D$6</definedName>
    <definedName name="solver_opt" localSheetId="4" hidden="1">CRT!$D$15</definedName>
    <definedName name="solver_opt" localSheetId="5" hidden="1">Remington!$F$8</definedName>
    <definedName name="solver_opt" localSheetId="6" hidden="1">'Remington - min order'!$F$8</definedName>
    <definedName name="solver_opt" localSheetId="7" hidden="1">'Remington - with If'!$F$8</definedName>
    <definedName name="solver_piv" localSheetId="1" hidden="1">0.000001</definedName>
    <definedName name="solver_pre" localSheetId="3" hidden="1">0.000001</definedName>
    <definedName name="solver_pre" localSheetId="8" hidden="1">0.000001</definedName>
    <definedName name="solver_pre" localSheetId="1" hidden="1">0.00000001</definedName>
    <definedName name="solver_pre" localSheetId="2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o" localSheetId="1" hidden="1">2</definedName>
    <definedName name="solver_rbv" localSheetId="1" hidden="1">1</definedName>
    <definedName name="solver_rbv" localSheetId="2" hidden="1">1</definedName>
    <definedName name="solver_red" localSheetId="1" hidden="1">0.000001</definedName>
    <definedName name="solver_rel1" localSheetId="3" hidden="1">3</definedName>
    <definedName name="solver_rel1" localSheetId="8" hidden="1">1</definedName>
    <definedName name="solver_rel1" localSheetId="1" hidden="1">3</definedName>
    <definedName name="solver_rel1" localSheetId="2" hidden="1">1</definedName>
    <definedName name="solver_rel1" localSheetId="4" hidden="1">5</definedName>
    <definedName name="solver_rel1" localSheetId="5" hidden="1">3</definedName>
    <definedName name="solver_rel1" localSheetId="6" hidden="1">1</definedName>
    <definedName name="solver_rel1" localSheetId="7" hidden="1">1</definedName>
    <definedName name="solver_rel10" localSheetId="8" hidden="1">5</definedName>
    <definedName name="solver_rel11" localSheetId="8" hidden="1">5</definedName>
    <definedName name="solver_rel12" localSheetId="8" hidden="1">5</definedName>
    <definedName name="solver_rel2" localSheetId="3" hidden="1">3</definedName>
    <definedName name="solver_rel2" localSheetId="8" hidden="1">2</definedName>
    <definedName name="solver_rel2" localSheetId="1" hidden="1">1</definedName>
    <definedName name="solver_rel2" localSheetId="2" hidden="1">4</definedName>
    <definedName name="solver_rel2" localSheetId="4" hidden="1">1</definedName>
    <definedName name="solver_rel2" localSheetId="5" hidden="1">4</definedName>
    <definedName name="solver_rel2" localSheetId="6" hidden="1">3</definedName>
    <definedName name="solver_rel3" localSheetId="3" hidden="1">4</definedName>
    <definedName name="solver_rel3" localSheetId="8" hidden="1">1</definedName>
    <definedName name="solver_rel3" localSheetId="1" hidden="1">1</definedName>
    <definedName name="solver_rel3" localSheetId="2" hidden="1">3</definedName>
    <definedName name="solver_rel3" localSheetId="5" hidden="1">5</definedName>
    <definedName name="solver_rel3" localSheetId="6" hidden="1">4</definedName>
    <definedName name="solver_rel4" localSheetId="8" hidden="1">3</definedName>
    <definedName name="solver_rel4" localSheetId="5" hidden="1">1</definedName>
    <definedName name="solver_rel4" localSheetId="6" hidden="1">5</definedName>
    <definedName name="solver_rel5" localSheetId="8" hidden="1">1</definedName>
    <definedName name="solver_rel5" localSheetId="5" hidden="1">1</definedName>
    <definedName name="solver_rel5" localSheetId="6" hidden="1">1</definedName>
    <definedName name="solver_rel6" localSheetId="8" hidden="1">1</definedName>
    <definedName name="solver_rel6" localSheetId="6" hidden="1">3</definedName>
    <definedName name="solver_rel7" localSheetId="8" hidden="1">2</definedName>
    <definedName name="solver_rel7" localSheetId="6" hidden="1">1</definedName>
    <definedName name="solver_rel8" localSheetId="8" hidden="1">1</definedName>
    <definedName name="solver_rel9" localSheetId="8" hidden="1">3</definedName>
    <definedName name="solver_reo" localSheetId="1" hidden="1">2</definedName>
    <definedName name="solver_rep" localSheetId="1" hidden="1">2</definedName>
    <definedName name="solver_rhs1" localSheetId="3" hidden="1">'Air Express'!$B$13:$H$13</definedName>
    <definedName name="solver_rhs1" localSheetId="8" hidden="1">'B&amp;G'!$G$12:$G$14</definedName>
    <definedName name="solver_rhs1" localSheetId="1" hidden="1">0</definedName>
    <definedName name="solver_rhs1" localSheetId="2" hidden="1">'Blue Ridge - ILP'!$E$9:$E$11</definedName>
    <definedName name="solver_rhs1" localSheetId="4" hidden="1">binary</definedName>
    <definedName name="solver_rhs1" localSheetId="5" hidden="1">0</definedName>
    <definedName name="solver_rhs1" localSheetId="6" hidden="1">'Remington - min order'!$F$11:$F$13</definedName>
    <definedName name="solver_rhs1" localSheetId="7" hidden="1">'Remington - with If'!$F$11:$F$13</definedName>
    <definedName name="solver_rhs10" localSheetId="8" hidden="1">binary</definedName>
    <definedName name="solver_rhs11" localSheetId="8" hidden="1">binary</definedName>
    <definedName name="solver_rhs12" localSheetId="8" hidden="1">binary</definedName>
    <definedName name="solver_rhs2" localSheetId="3" hidden="1">0</definedName>
    <definedName name="solver_rhs2" localSheetId="8" hidden="1">'B&amp;G'!$B$16:$E$16</definedName>
    <definedName name="solver_rhs2" localSheetId="1" hidden="1">'Blue Ridge'!$E$9:$E$11</definedName>
    <definedName name="solver_rhs2" localSheetId="2" hidden="1">integer</definedName>
    <definedName name="solver_rhs2" localSheetId="4" hidden="1">CRT!$D$13:$H$13</definedName>
    <definedName name="solver_rhs2" localSheetId="5" hidden="1">integer</definedName>
    <definedName name="solver_rhs2" localSheetId="6" hidden="1">0</definedName>
    <definedName name="solver_rhs3" localSheetId="3" hidden="1">integer</definedName>
    <definedName name="solver_rhs3" localSheetId="8" hidden="1">0</definedName>
    <definedName name="solver_rhs3" localSheetId="1" hidden="1">'Blue Ridge'!$E$9:$E$11</definedName>
    <definedName name="solver_rhs3" localSheetId="2" hidden="1">0</definedName>
    <definedName name="solver_rhs3" localSheetId="5" hidden="1">binary</definedName>
    <definedName name="solver_rhs3" localSheetId="6" hidden="1">integer</definedName>
    <definedName name="solver_rhs4" localSheetId="8" hidden="1">0</definedName>
    <definedName name="solver_rhs4" localSheetId="5" hidden="1">0</definedName>
    <definedName name="solver_rhs4" localSheetId="6" hidden="1">binary</definedName>
    <definedName name="solver_rhs5" localSheetId="8" hidden="1">0</definedName>
    <definedName name="solver_rhs5" localSheetId="5" hidden="1">Remington!$F$11:$F$13</definedName>
    <definedName name="solver_rhs5" localSheetId="6" hidden="1">0</definedName>
    <definedName name="solver_rhs6" localSheetId="8" hidden="1">1</definedName>
    <definedName name="solver_rhs6" localSheetId="6" hidden="1">0</definedName>
    <definedName name="solver_rhs7" localSheetId="8" hidden="1">0</definedName>
    <definedName name="solver_rhs7" localSheetId="6" hidden="1">0</definedName>
    <definedName name="solver_rhs8" localSheetId="8" hidden="1">1</definedName>
    <definedName name="solver_rhs9" localSheetId="8" hidden="1">0</definedName>
    <definedName name="solver_rlx" localSheetId="1" hidden="1">2</definedName>
    <definedName name="solver_rlx" localSheetId="2" hidden="1">2</definedName>
    <definedName name="solver_rsd" localSheetId="2" hidden="1">0</definedName>
    <definedName name="solver_scl" localSheetId="3" hidden="1">2</definedName>
    <definedName name="solver_scl" localSheetId="8" hidden="1">1</definedName>
    <definedName name="solver_scl" localSheetId="1" hidden="1">2</definedName>
    <definedName name="solver_scl" localSheetId="2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ho" localSheetId="3" hidden="1">2</definedName>
    <definedName name="solver_sho" localSheetId="8" hidden="1">2</definedName>
    <definedName name="solver_sho" localSheetId="1" hidden="1">2</definedName>
    <definedName name="solver_sho" localSheetId="2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sz" localSheetId="1" hidden="1">100</definedName>
    <definedName name="solver_ssz" localSheetId="2" hidden="1">100</definedName>
    <definedName name="solver_std" localSheetId="1" hidden="1">0</definedName>
    <definedName name="solver_tim" localSheetId="3" hidden="1">100</definedName>
    <definedName name="solver_tim" localSheetId="8" hidden="1">100</definedName>
    <definedName name="solver_tim" localSheetId="1" hidden="1">100</definedName>
    <definedName name="solver_tim" localSheetId="2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ol" localSheetId="3" hidden="1">0</definedName>
    <definedName name="solver_tol" localSheetId="8" hidden="1">0</definedName>
    <definedName name="solver_tol" localSheetId="1" hidden="1">0.05</definedName>
    <definedName name="solver_tol" localSheetId="2" hidden="1">0.05</definedName>
    <definedName name="solver_tol" localSheetId="4" hidden="1">0</definedName>
    <definedName name="solver_tol" localSheetId="5" hidden="1">0</definedName>
    <definedName name="solver_tol" localSheetId="6" hidden="1">0.05</definedName>
    <definedName name="solver_tol" localSheetId="7" hidden="1">0.05</definedName>
    <definedName name="solver_typ" localSheetId="3" hidden="1">2</definedName>
    <definedName name="solver_typ" localSheetId="8" hidden="1">2</definedName>
    <definedName name="solver_typ" localSheetId="1" hidden="1">1</definedName>
    <definedName name="solver_typ" localSheetId="2" hidden="1">1</definedName>
    <definedName name="solver_typ" localSheetId="4" hidden="1">1</definedName>
    <definedName name="solver_typ" localSheetId="5" hidden="1">1</definedName>
    <definedName name="solver_typ" localSheetId="6" hidden="1">1</definedName>
    <definedName name="solver_typ" localSheetId="7" hidden="1">1</definedName>
    <definedName name="solver_val" localSheetId="3" hidden="1">0</definedName>
    <definedName name="solver_val" localSheetId="8" hidden="1">0</definedName>
    <definedName name="solver_val" localSheetId="1" hidden="1">0</definedName>
    <definedName name="solver_val" localSheetId="2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er" localSheetId="1" hidden="1">2</definedName>
    <definedName name="solver_ver" localSheetId="2" hidden="1">3</definedName>
  </definedNames>
  <calcPr calcId="162913"/>
</workbook>
</file>

<file path=xl/calcChain.xml><?xml version="1.0" encoding="utf-8"?>
<calcChain xmlns="http://schemas.openxmlformats.org/spreadsheetml/2006/main">
  <c r="D33" i="13" l="1"/>
  <c r="D32" i="13"/>
  <c r="E28" i="13"/>
  <c r="E27" i="13"/>
  <c r="D27" i="13"/>
  <c r="C27" i="13"/>
  <c r="B27" i="13"/>
  <c r="E23" i="13"/>
  <c r="D23" i="13"/>
  <c r="C23" i="13"/>
  <c r="B23" i="13"/>
  <c r="E22" i="13"/>
  <c r="D22" i="13"/>
  <c r="C22" i="13"/>
  <c r="B22" i="13"/>
  <c r="G17" i="13"/>
  <c r="E15" i="13"/>
  <c r="D15" i="13"/>
  <c r="C15" i="13"/>
  <c r="B15" i="13"/>
  <c r="F14" i="13"/>
  <c r="F13" i="13"/>
  <c r="F12" i="13"/>
  <c r="D12" i="12"/>
  <c r="D19" i="10"/>
  <c r="J12" i="12"/>
  <c r="H12" i="12"/>
  <c r="G12" i="12"/>
  <c r="F12" i="12"/>
  <c r="E12" i="12"/>
  <c r="C12" i="12"/>
  <c r="B12" i="12"/>
  <c r="D17" i="10"/>
  <c r="D16" i="10"/>
  <c r="C16" i="10"/>
  <c r="B16" i="10"/>
  <c r="E13" i="10"/>
  <c r="E12" i="10"/>
  <c r="E11" i="10"/>
  <c r="F8" i="10"/>
  <c r="D15" i="8"/>
  <c r="C15" i="8"/>
  <c r="B15" i="8"/>
  <c r="E13" i="8"/>
  <c r="E12" i="8"/>
  <c r="E11" i="8"/>
  <c r="F8" i="8"/>
  <c r="D16" i="6"/>
  <c r="C16" i="6"/>
  <c r="B16" i="6"/>
  <c r="E13" i="6"/>
  <c r="E12" i="6"/>
  <c r="E11" i="6"/>
  <c r="F8" i="6"/>
  <c r="D15" i="4"/>
  <c r="H12" i="4"/>
  <c r="G12" i="4"/>
  <c r="F12" i="4"/>
  <c r="E12" i="4"/>
  <c r="D12" i="4"/>
  <c r="D11" i="3"/>
  <c r="D10" i="3"/>
  <c r="D9" i="3"/>
  <c r="D6" i="3"/>
  <c r="D11" i="2"/>
  <c r="D10" i="2"/>
  <c r="D9" i="2"/>
  <c r="D6" i="2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B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D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comments2.xml><?xml version="1.0" encoding="utf-8"?>
<comments xmlns="http://schemas.openxmlformats.org/spreadsheetml/2006/main">
  <authors>
    <author>A satisfied Microsoft Office user</author>
  </authors>
  <commentList>
    <comment ref="B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D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comments3.xml><?xml version="1.0" encoding="utf-8"?>
<comments xmlns="http://schemas.openxmlformats.org/spreadsheetml/2006/main">
  <authors>
    <author>A satisfied Microsoft Office user</author>
  </authors>
  <commentList>
    <comment ref="I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I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I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I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I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I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I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C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F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G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H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J12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comments4.xml><?xml version="1.0" encoding="utf-8"?>
<comments xmlns="http://schemas.openxmlformats.org/spreadsheetml/2006/main">
  <authors>
    <author>A satisfied Microsoft Office user</author>
  </authors>
  <commentList>
    <comment ref="B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F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G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H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5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comments5.xml><?xml version="1.0" encoding="utf-8"?>
<comments xmlns="http://schemas.openxmlformats.org/spreadsheetml/2006/main">
  <authors>
    <author>A satisfied Microsoft Office user</author>
  </authors>
  <commentList>
    <comment ref="B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8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1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6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C16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6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comments6.xml><?xml version="1.0" encoding="utf-8"?>
<comments xmlns="http://schemas.openxmlformats.org/spreadsheetml/2006/main">
  <authors>
    <author>A satisfied Microsoft Office user</author>
    <author>sue</author>
  </authors>
  <commentList>
    <comment ref="B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8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1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6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C16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6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7" authorId="1" shapeId="0">
      <text>
        <r>
          <rPr>
            <b/>
            <sz val="8"/>
            <color indexed="81"/>
            <rFont val="Tahoma"/>
            <family val="2"/>
          </rPr>
          <t>constraint cell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A satisfied Microsoft Office user</author>
  </authors>
  <commentList>
    <comment ref="B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8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comments8.xml><?xml version="1.0" encoding="utf-8"?>
<comments xmlns="http://schemas.openxmlformats.org/spreadsheetml/2006/main">
  <authors>
    <author>A satisfied Microsoft Office user</author>
  </authors>
  <commentList>
    <comment ref="B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1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1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1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1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14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5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C15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5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5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G17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B2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2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2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2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2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C2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2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2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2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C2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2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2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2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2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2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2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27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C27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27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27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2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3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3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3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3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3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sharedStrings.xml><?xml version="1.0" encoding="utf-8"?>
<sst xmlns="http://schemas.openxmlformats.org/spreadsheetml/2006/main" count="155" uniqueCount="95">
  <si>
    <t/>
  </si>
  <si>
    <t>Aqua-Spas</t>
  </si>
  <si>
    <t>Hydro-Luxes</t>
  </si>
  <si>
    <t>Used</t>
  </si>
  <si>
    <t>Available</t>
  </si>
  <si>
    <t>Unit Profits</t>
  </si>
  <si>
    <t>Constraints</t>
  </si>
  <si>
    <t>Total Profit</t>
  </si>
  <si>
    <t>Number to Make</t>
  </si>
  <si>
    <t xml:space="preserve">   Pumps Req'd</t>
  </si>
  <si>
    <t xml:space="preserve">   Labor Req'd</t>
  </si>
  <si>
    <t xml:space="preserve">   Tubing Req'd</t>
  </si>
  <si>
    <t xml:space="preserve">  Pumps Req'd</t>
  </si>
  <si>
    <t xml:space="preserve">  Labor Req'd</t>
  </si>
  <si>
    <t xml:space="preserve">  Tubing Req'd</t>
  </si>
  <si>
    <t>Select?</t>
  </si>
  <si>
    <t>Capital Required in</t>
  </si>
  <si>
    <t>Project</t>
  </si>
  <si>
    <t>(0=no, 1=yes)</t>
  </si>
  <si>
    <t>NPV</t>
  </si>
  <si>
    <t>Year 1</t>
  </si>
  <si>
    <t>Year 2</t>
  </si>
  <si>
    <t>Year 3</t>
  </si>
  <si>
    <t>Year 4</t>
  </si>
  <si>
    <t>Year 5</t>
  </si>
  <si>
    <t>Capital Required</t>
  </si>
  <si>
    <t>Capital Available</t>
  </si>
  <si>
    <t>Total Net Present Value</t>
  </si>
  <si>
    <t>Product 1</t>
  </si>
  <si>
    <t>Product 2</t>
  </si>
  <si>
    <t>Product 3</t>
  </si>
  <si>
    <t>Number to Produce</t>
  </si>
  <si>
    <t>Unit Profit</t>
  </si>
  <si>
    <t>Fixed-Cost</t>
  </si>
  <si>
    <t>Resources</t>
  </si>
  <si>
    <t>Hours Required</t>
  </si>
  <si>
    <t xml:space="preserve">  Machining</t>
  </si>
  <si>
    <t xml:space="preserve">  Grinding</t>
  </si>
  <si>
    <t xml:space="preserve">  Assembly</t>
  </si>
  <si>
    <t>Binary Variables</t>
  </si>
  <si>
    <t>Linking Constraints</t>
  </si>
  <si>
    <t>Minimum required constraint</t>
  </si>
  <si>
    <r>
      <t>Implement as X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 xml:space="preserve"> - 40Y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 xml:space="preserve"> &gt;= 0</t>
    </r>
  </si>
  <si>
    <t>Minimum value</t>
  </si>
  <si>
    <t>Days On=1, Days Off=0</t>
  </si>
  <si>
    <t>Workers</t>
  </si>
  <si>
    <t xml:space="preserve"> Wages per</t>
  </si>
  <si>
    <t>Shift</t>
  </si>
  <si>
    <t>Sun</t>
  </si>
  <si>
    <t>Mon</t>
  </si>
  <si>
    <t>Tues</t>
  </si>
  <si>
    <t>Wed</t>
  </si>
  <si>
    <t>Thur</t>
  </si>
  <si>
    <t>Fri</t>
  </si>
  <si>
    <t>Sat</t>
  </si>
  <si>
    <t>Scheduled</t>
  </si>
  <si>
    <t xml:space="preserve">  Worker</t>
  </si>
  <si>
    <t>1</t>
  </si>
  <si>
    <t>2</t>
  </si>
  <si>
    <t>3</t>
  </si>
  <si>
    <t>4</t>
  </si>
  <si>
    <t>5</t>
  </si>
  <si>
    <t>6</t>
  </si>
  <si>
    <t>7</t>
  </si>
  <si>
    <t xml:space="preserve"> Total</t>
  </si>
  <si>
    <t>Required</t>
  </si>
  <si>
    <t>Maximum value constraint</t>
  </si>
  <si>
    <t>max value</t>
  </si>
  <si>
    <r>
      <t>Implement as X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 xml:space="preserve"> - 75Y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 xml:space="preserve"> &lt;= 0</t>
    </r>
  </si>
  <si>
    <t>Cost Per Delivered Ton</t>
  </si>
  <si>
    <t>Project 1</t>
  </si>
  <si>
    <t>Project 2</t>
  </si>
  <si>
    <t>Project 3</t>
  </si>
  <si>
    <t>Project 4</t>
  </si>
  <si>
    <t>Company 1</t>
  </si>
  <si>
    <t>Company 2</t>
  </si>
  <si>
    <t>Company 3</t>
  </si>
  <si>
    <t>Amount to Purchase</t>
  </si>
  <si>
    <t>Supplied</t>
  </si>
  <si>
    <t>Received</t>
  </si>
  <si>
    <t>Needed</t>
  </si>
  <si>
    <t>Total Cost:</t>
  </si>
  <si>
    <t>Additional Constraints Follow:</t>
  </si>
  <si>
    <t>Co. 1 Batch-Size</t>
  </si>
  <si>
    <t>(&lt;= 0)</t>
  </si>
  <si>
    <t>Batch Constraints</t>
  </si>
  <si>
    <t>(&gt;= 0)</t>
  </si>
  <si>
    <t>Co. 2 Max Supply</t>
  </si>
  <si>
    <t>UB Constraints</t>
  </si>
  <si>
    <t>Sum of Binary Variables</t>
  </si>
  <si>
    <t>(&lt;= 1)</t>
  </si>
  <si>
    <t>Co. 3 Tot. Supply</t>
  </si>
  <si>
    <t>Tot. Supply = 0, 200, 400, 550</t>
  </si>
  <si>
    <t>(=0)</t>
  </si>
  <si>
    <t>(&lt;=1)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</si>
</sst>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$&quot;#,##0_);\(&quot;$&quot;#,##0\)"/>
    <numFmt numFmtId="165" formatCode="General_)"/>
    <numFmt numFmtId="166" formatCode="0.00_)"/>
  </numFmts>
  <fonts count="16" x14ac:knownFonts="1">
    <font>
      <sz val="10"/>
      <name val="Arial"/>
      <family val="2"/>
    </font>
    <font>
      <b/>
      <sz val="10"/>
      <name val="Arial"/>
      <family val="2"/>
    </font>
    <font>
      <sz val="10"/>
      <color indexed="12"/>
      <name val="Courier"/>
      <family val="3"/>
    </font>
    <font>
      <sz val="10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10"/>
      <color indexed="12"/>
      <name val="Arial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i/>
      <sz val="10"/>
      <name val="Arial"/>
      <family val="2"/>
    </font>
    <font>
      <sz val="10"/>
      <color indexed="12"/>
      <name val="Arial"/>
      <family val="2"/>
    </font>
    <font>
      <b/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11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5" fontId="0" fillId="0" borderId="0"/>
  </cellStyleXfs>
  <cellXfs count="92">
    <xf numFmtId="165" fontId="0" fillId="0" borderId="0" xfId="0"/>
    <xf numFmtId="165" fontId="2" fillId="0" borderId="0" xfId="0" applyNumberFormat="1" applyFont="1" applyProtection="1">
      <protection locked="0"/>
    </xf>
    <xf numFmtId="165" fontId="0" fillId="0" borderId="0" xfId="0" applyNumberFormat="1" applyProtection="1"/>
    <xf numFmtId="165" fontId="0" fillId="0" borderId="0" xfId="0" applyNumberFormat="1" applyAlignment="1" applyProtection="1">
      <alignment horizontal="left"/>
    </xf>
    <xf numFmtId="165" fontId="3" fillId="0" borderId="0" xfId="0" applyFont="1"/>
    <xf numFmtId="165" fontId="4" fillId="0" borderId="0" xfId="0" applyFont="1" applyAlignment="1" applyProtection="1">
      <alignment horizontal="center"/>
    </xf>
    <xf numFmtId="165" fontId="4" fillId="0" borderId="0" xfId="0" applyFont="1" applyAlignment="1" applyProtection="1">
      <alignment horizontal="left"/>
    </xf>
    <xf numFmtId="164" fontId="3" fillId="0" borderId="0" xfId="0" applyNumberFormat="1" applyFont="1" applyProtection="1"/>
    <xf numFmtId="165" fontId="3" fillId="0" borderId="0" xfId="0" applyFont="1" applyAlignment="1">
      <alignment horizontal="center"/>
    </xf>
    <xf numFmtId="164" fontId="1" fillId="0" borderId="0" xfId="0" applyNumberFormat="1" applyFont="1" applyAlignment="1" applyProtection="1">
      <alignment horizontal="center"/>
    </xf>
    <xf numFmtId="165" fontId="1" fillId="0" borderId="0" xfId="0" applyFont="1" applyAlignment="1" applyProtection="1">
      <alignment horizontal="center"/>
    </xf>
    <xf numFmtId="37" fontId="1" fillId="0" borderId="0" xfId="0" applyNumberFormat="1" applyFont="1" applyAlignment="1" applyProtection="1">
      <alignment horizontal="center"/>
    </xf>
    <xf numFmtId="165" fontId="0" fillId="0" borderId="0" xfId="0" applyFill="1" applyBorder="1"/>
    <xf numFmtId="164" fontId="6" fillId="2" borderId="1" xfId="0" applyNumberFormat="1" applyFont="1" applyFill="1" applyBorder="1" applyAlignment="1" applyProtection="1">
      <alignment horizontal="center"/>
    </xf>
    <xf numFmtId="37" fontId="8" fillId="2" borderId="2" xfId="0" applyNumberFormat="1" applyFont="1" applyFill="1" applyBorder="1" applyAlignment="1" applyProtection="1">
      <alignment horizontal="center"/>
    </xf>
    <xf numFmtId="165" fontId="8" fillId="2" borderId="2" xfId="0" applyFont="1" applyFill="1" applyBorder="1" applyAlignment="1" applyProtection="1">
      <alignment horizontal="center"/>
    </xf>
    <xf numFmtId="165" fontId="3" fillId="0" borderId="0" xfId="0" applyFont="1" applyFill="1" applyBorder="1" applyAlignment="1">
      <alignment horizontal="centerContinuous" vertical="center"/>
    </xf>
    <xf numFmtId="165" fontId="9" fillId="0" borderId="0" xfId="0" applyFont="1" applyFill="1" applyBorder="1" applyAlignment="1">
      <alignment horizontal="centerContinuous"/>
    </xf>
    <xf numFmtId="165" fontId="10" fillId="0" borderId="0" xfId="0" applyFont="1"/>
    <xf numFmtId="165" fontId="4" fillId="0" borderId="0" xfId="0" applyFont="1"/>
    <xf numFmtId="0" fontId="7" fillId="2" borderId="3" xfId="0" applyNumberFormat="1" applyFont="1" applyFill="1" applyBorder="1" applyAlignment="1" applyProtection="1">
      <alignment horizontal="center"/>
    </xf>
    <xf numFmtId="165" fontId="4" fillId="0" borderId="0" xfId="0" applyFont="1" applyAlignment="1">
      <alignment horizontal="centerContinuous"/>
    </xf>
    <xf numFmtId="165" fontId="3" fillId="0" borderId="0" xfId="0" applyFont="1" applyAlignment="1">
      <alignment horizontal="centerContinuous"/>
    </xf>
    <xf numFmtId="165" fontId="4" fillId="0" borderId="0" xfId="0" applyFont="1" applyBorder="1"/>
    <xf numFmtId="165" fontId="4" fillId="0" borderId="0" xfId="0" applyFont="1" applyBorder="1" applyAlignment="1">
      <alignment horizontal="center"/>
    </xf>
    <xf numFmtId="165" fontId="4" fillId="0" borderId="0" xfId="0" applyFont="1" applyFill="1" applyBorder="1" applyAlignment="1">
      <alignment horizontal="centerContinuous"/>
    </xf>
    <xf numFmtId="165" fontId="4" fillId="0" borderId="0" xfId="0" applyFont="1" applyBorder="1" applyAlignment="1">
      <alignment horizontal="centerContinuous"/>
    </xf>
    <xf numFmtId="165" fontId="4" fillId="0" borderId="4" xfId="0" applyFont="1" applyBorder="1" applyAlignment="1">
      <alignment horizontal="center"/>
    </xf>
    <xf numFmtId="165" fontId="4" fillId="0" borderId="4" xfId="0" applyFont="1" applyFill="1" applyBorder="1" applyAlignment="1">
      <alignment horizontal="center"/>
    </xf>
    <xf numFmtId="165" fontId="7" fillId="2" borderId="3" xfId="0" applyFont="1" applyFill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5" fontId="7" fillId="2" borderId="5" xfId="0" applyFont="1" applyFill="1" applyBorder="1" applyAlignment="1">
      <alignment horizontal="center"/>
    </xf>
    <xf numFmtId="164" fontId="4" fillId="0" borderId="4" xfId="0" applyNumberFormat="1" applyFont="1" applyBorder="1" applyAlignment="1">
      <alignment horizontal="center"/>
    </xf>
    <xf numFmtId="165" fontId="3" fillId="0" borderId="6" xfId="0" applyFont="1" applyBorder="1"/>
    <xf numFmtId="165" fontId="4" fillId="0" borderId="7" xfId="0" applyFont="1" applyBorder="1" applyAlignment="1">
      <alignment horizontal="right"/>
    </xf>
    <xf numFmtId="164" fontId="8" fillId="2" borderId="2" xfId="0" applyNumberFormat="1" applyFont="1" applyFill="1" applyBorder="1" applyAlignment="1">
      <alignment horizontal="center"/>
    </xf>
    <xf numFmtId="165" fontId="4" fillId="0" borderId="0" xfId="0" applyFont="1" applyAlignment="1">
      <alignment horizontal="right"/>
    </xf>
    <xf numFmtId="164" fontId="4" fillId="0" borderId="0" xfId="0" applyNumberFormat="1" applyFont="1" applyAlignment="1">
      <alignment horizontal="center"/>
    </xf>
    <xf numFmtId="164" fontId="6" fillId="2" borderId="1" xfId="0" applyNumberFormat="1" applyFont="1" applyFill="1" applyBorder="1" applyAlignment="1">
      <alignment horizontal="center"/>
    </xf>
    <xf numFmtId="165" fontId="4" fillId="0" borderId="0" xfId="0" applyFont="1" applyAlignment="1">
      <alignment horizontal="center"/>
    </xf>
    <xf numFmtId="165" fontId="1" fillId="0" borderId="0" xfId="0" applyFont="1"/>
    <xf numFmtId="0" fontId="7" fillId="2" borderId="3" xfId="0" applyNumberFormat="1" applyFon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5" fontId="3" fillId="0" borderId="0" xfId="0" applyFont="1" applyBorder="1" applyAlignment="1">
      <alignment horizontal="centerContinuous"/>
    </xf>
    <xf numFmtId="165" fontId="1" fillId="0" borderId="0" xfId="0" applyFont="1" applyAlignment="1">
      <alignment horizontal="center"/>
    </xf>
    <xf numFmtId="165" fontId="8" fillId="2" borderId="2" xfId="0" applyFont="1" applyFill="1" applyBorder="1" applyAlignment="1">
      <alignment horizontal="center"/>
    </xf>
    <xf numFmtId="165" fontId="1" fillId="0" borderId="0" xfId="0" applyFont="1" applyBorder="1" applyAlignment="1">
      <alignment horizontal="center"/>
    </xf>
    <xf numFmtId="165" fontId="3" fillId="0" borderId="0" xfId="0" applyFont="1" applyBorder="1" applyAlignment="1">
      <alignment horizontal="center"/>
    </xf>
    <xf numFmtId="165" fontId="4" fillId="0" borderId="0" xfId="0" applyFont="1" applyFill="1" applyBorder="1"/>
    <xf numFmtId="165" fontId="4" fillId="0" borderId="0" xfId="0" applyFont="1" applyAlignment="1">
      <alignment horizontal="left"/>
    </xf>
    <xf numFmtId="165" fontId="13" fillId="0" borderId="0" xfId="0" applyFont="1" applyAlignment="1">
      <alignment horizontal="centerContinuous"/>
    </xf>
    <xf numFmtId="165" fontId="14" fillId="0" borderId="0" xfId="0" applyNumberFormat="1" applyFont="1" applyProtection="1">
      <protection locked="0"/>
    </xf>
    <xf numFmtId="165" fontId="3" fillId="0" borderId="0" xfId="0" applyNumberFormat="1" applyFont="1" applyProtection="1"/>
    <xf numFmtId="165" fontId="4" fillId="0" borderId="0" xfId="0" applyFont="1" applyAlignment="1" applyProtection="1">
      <alignment horizontal="centerContinuous"/>
    </xf>
    <xf numFmtId="165" fontId="4" fillId="0" borderId="0" xfId="0" applyFont="1" applyAlignment="1" applyProtection="1"/>
    <xf numFmtId="165" fontId="4" fillId="0" borderId="4" xfId="0" applyFont="1" applyBorder="1" applyAlignment="1" applyProtection="1">
      <alignment horizontal="center"/>
    </xf>
    <xf numFmtId="165" fontId="4" fillId="0" borderId="4" xfId="0" applyFont="1" applyBorder="1" applyAlignment="1" applyProtection="1"/>
    <xf numFmtId="0" fontId="4" fillId="0" borderId="0" xfId="0" applyNumberFormat="1" applyFont="1" applyAlignment="1" applyProtection="1">
      <alignment horizontal="center"/>
    </xf>
    <xf numFmtId="164" fontId="4" fillId="0" borderId="0" xfId="0" applyNumberFormat="1" applyFont="1" applyAlignment="1" applyProtection="1">
      <alignment horizontal="center"/>
    </xf>
    <xf numFmtId="0" fontId="4" fillId="0" borderId="4" xfId="0" applyNumberFormat="1" applyFont="1" applyBorder="1" applyAlignment="1" applyProtection="1">
      <alignment horizontal="center"/>
    </xf>
    <xf numFmtId="164" fontId="4" fillId="0" borderId="4" xfId="0" applyNumberFormat="1" applyFont="1" applyBorder="1" applyAlignment="1" applyProtection="1">
      <alignment horizontal="center"/>
    </xf>
    <xf numFmtId="0" fontId="8" fillId="2" borderId="2" xfId="0" applyNumberFormat="1" applyFont="1" applyFill="1" applyBorder="1" applyAlignment="1" applyProtection="1">
      <alignment horizontal="center"/>
    </xf>
    <xf numFmtId="165" fontId="4" fillId="0" borderId="6" xfId="0" applyFont="1" applyBorder="1" applyAlignment="1" applyProtection="1">
      <alignment horizontal="center"/>
    </xf>
    <xf numFmtId="166" fontId="3" fillId="0" borderId="0" xfId="0" applyNumberFormat="1" applyFont="1" applyProtection="1"/>
    <xf numFmtId="165" fontId="3" fillId="0" borderId="0" xfId="0" applyFont="1" applyProtection="1"/>
    <xf numFmtId="166" fontId="3" fillId="0" borderId="0" xfId="0" applyNumberFormat="1" applyFont="1" applyBorder="1" applyProtection="1"/>
    <xf numFmtId="165" fontId="3" fillId="0" borderId="0" xfId="0" applyFont="1" applyBorder="1" applyProtection="1"/>
    <xf numFmtId="1" fontId="1" fillId="0" borderId="0" xfId="0" applyNumberFormat="1" applyFont="1" applyAlignment="1">
      <alignment horizontal="center"/>
    </xf>
    <xf numFmtId="0" fontId="4" fillId="0" borderId="0" xfId="0" applyNumberFormat="1" applyFont="1" applyAlignment="1">
      <alignment horizontal="centerContinuous"/>
    </xf>
    <xf numFmtId="0" fontId="0" fillId="0" borderId="0" xfId="0" applyNumberFormat="1" applyAlignment="1">
      <alignment horizontal="centerContinuous"/>
    </xf>
    <xf numFmtId="0" fontId="0" fillId="0" borderId="0" xfId="0" applyNumberFormat="1"/>
    <xf numFmtId="0" fontId="0" fillId="0" borderId="4" xfId="0" applyNumberFormat="1" applyBorder="1"/>
    <xf numFmtId="0" fontId="4" fillId="0" borderId="4" xfId="0" applyNumberFormat="1" applyFont="1" applyBorder="1" applyAlignment="1">
      <alignment horizontal="center"/>
    </xf>
    <xf numFmtId="0" fontId="0" fillId="0" borderId="0" xfId="0" applyNumberFormat="1" applyBorder="1"/>
    <xf numFmtId="0" fontId="4" fillId="0" borderId="0" xfId="0" applyNumberFormat="1" applyFont="1" applyBorder="1"/>
    <xf numFmtId="0" fontId="4" fillId="0" borderId="4" xfId="0" applyNumberFormat="1" applyFont="1" applyBorder="1"/>
    <xf numFmtId="3" fontId="7" fillId="2" borderId="3" xfId="0" applyNumberFormat="1" applyFont="1" applyFill="1" applyBorder="1" applyAlignment="1">
      <alignment horizontal="center"/>
    </xf>
    <xf numFmtId="3" fontId="8" fillId="2" borderId="2" xfId="0" applyNumberFormat="1" applyFont="1" applyFill="1" applyBorder="1" applyAlignment="1">
      <alignment horizontal="center"/>
    </xf>
    <xf numFmtId="3" fontId="4" fillId="0" borderId="0" xfId="0" applyNumberFormat="1" applyFont="1" applyBorder="1" applyAlignment="1">
      <alignment horizontal="center"/>
    </xf>
    <xf numFmtId="3" fontId="7" fillId="2" borderId="8" xfId="0" applyNumberFormat="1" applyFont="1" applyFill="1" applyBorder="1" applyAlignment="1">
      <alignment horizontal="center"/>
    </xf>
    <xf numFmtId="3" fontId="8" fillId="2" borderId="9" xfId="0" applyNumberFormat="1" applyFont="1" applyFill="1" applyBorder="1" applyAlignment="1">
      <alignment horizontal="center"/>
    </xf>
    <xf numFmtId="3" fontId="4" fillId="0" borderId="4" xfId="0" applyNumberFormat="1" applyFont="1" applyBorder="1" applyAlignment="1">
      <alignment horizontal="center"/>
    </xf>
    <xf numFmtId="3" fontId="8" fillId="2" borderId="10" xfId="0" applyNumberFormat="1" applyFont="1" applyFill="1" applyBorder="1" applyAlignment="1">
      <alignment horizontal="center"/>
    </xf>
    <xf numFmtId="3" fontId="0" fillId="0" borderId="0" xfId="0" applyNumberFormat="1" applyBorder="1"/>
    <xf numFmtId="0" fontId="4" fillId="0" borderId="0" xfId="0" applyNumberFormat="1" applyFont="1" applyBorder="1" applyAlignment="1">
      <alignment horizontal="right"/>
    </xf>
    <xf numFmtId="3" fontId="0" fillId="0" borderId="0" xfId="0" applyNumberFormat="1"/>
    <xf numFmtId="0" fontId="4" fillId="0" borderId="0" xfId="0" applyNumberFormat="1" applyFont="1"/>
    <xf numFmtId="0" fontId="4" fillId="0" borderId="0" xfId="0" applyNumberFormat="1" applyFont="1" applyAlignment="1">
      <alignment horizontal="center"/>
    </xf>
    <xf numFmtId="0" fontId="8" fillId="2" borderId="2" xfId="0" applyNumberFormat="1" applyFont="1" applyFill="1" applyBorder="1" applyAlignment="1">
      <alignment horizontal="center"/>
    </xf>
    <xf numFmtId="2" fontId="8" fillId="2" borderId="2" xfId="0" applyNumberFormat="1" applyFont="1" applyFill="1" applyBorder="1" applyAlignment="1">
      <alignment horizontal="center"/>
    </xf>
    <xf numFmtId="1" fontId="7" fillId="2" borderId="3" xfId="0" applyNumberFormat="1" applyFont="1" applyFill="1" applyBorder="1" applyAlignment="1">
      <alignment horizontal="center"/>
    </xf>
    <xf numFmtId="2" fontId="7" fillId="2" borderId="3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1051560</xdr:colOff>
      <xdr:row>0</xdr:row>
      <xdr:rowOff>95250</xdr:rowOff>
    </xdr:from>
    <xdr:to>
      <xdr:col>3</xdr:col>
      <xdr:colOff>114271</xdr:colOff>
      <xdr:row>2</xdr:row>
      <xdr:rowOff>76200</xdr:rowOff>
    </xdr:to>
    <xdr:sp macro="[0]!Toggle" textlink="">
      <xdr:nvSpPr>
        <xdr:cNvPr id="1026" name="Text 2"/>
        <xdr:cNvSpPr>
          <a:spLocks noChangeArrowheads="1"/>
        </xdr:cNvSpPr>
      </xdr:nvSpPr>
      <xdr:spPr bwMode="auto">
        <a:xfrm>
          <a:off x="1028700" y="95250"/>
          <a:ext cx="1933575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Blue Ridge Hot Tubs</a:t>
          </a:r>
        </a:p>
      </xdr:txBody>
    </xdr:sp>
    <xdr:clientData/>
  </xdr:twoCellAnchor>
  <xdr:twoCellAnchor>
    <xdr:from>
      <xdr:col>0</xdr:col>
      <xdr:colOff>131445</xdr:colOff>
      <xdr:row>14</xdr:row>
      <xdr:rowOff>26670</xdr:rowOff>
    </xdr:from>
    <xdr:to>
      <xdr:col>2</xdr:col>
      <xdr:colOff>651506</xdr:colOff>
      <xdr:row>18</xdr:row>
      <xdr:rowOff>131445</xdr:rowOff>
    </xdr:to>
    <xdr:sp macro="" textlink="">
      <xdr:nvSpPr>
        <xdr:cNvPr id="1027" name="Note"/>
        <xdr:cNvSpPr txBox="1">
          <a:spLocks noChangeArrowheads="1"/>
        </xdr:cNvSpPr>
      </xdr:nvSpPr>
      <xdr:spPr bwMode="auto">
        <a:xfrm>
          <a:off x="123825" y="2352675"/>
          <a:ext cx="2486025" cy="7524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Maximize:    D6</a:t>
          </a:r>
        </a:p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By changing: B5:C5</a:t>
          </a:r>
        </a:p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Subject to:  D9:D11&lt;=E9:E11</a:t>
          </a:r>
        </a:p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             B5:C5&gt;=0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1051560</xdr:colOff>
      <xdr:row>0</xdr:row>
      <xdr:rowOff>95250</xdr:rowOff>
    </xdr:from>
    <xdr:to>
      <xdr:col>3</xdr:col>
      <xdr:colOff>114300</xdr:colOff>
      <xdr:row>2</xdr:row>
      <xdr:rowOff>76200</xdr:rowOff>
    </xdr:to>
    <xdr:sp macro="[0]!Toggle" textlink="">
      <xdr:nvSpPr>
        <xdr:cNvPr id="2049" name="Text 2"/>
        <xdr:cNvSpPr>
          <a:spLocks noChangeArrowheads="1"/>
        </xdr:cNvSpPr>
      </xdr:nvSpPr>
      <xdr:spPr bwMode="auto">
        <a:xfrm>
          <a:off x="1028700" y="95250"/>
          <a:ext cx="1933575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Blue Ridge Hot Tubs</a:t>
          </a:r>
        </a:p>
      </xdr:txBody>
    </xdr:sp>
    <xdr:clientData/>
  </xdr:twoCellAnchor>
  <xdr:twoCellAnchor>
    <xdr:from>
      <xdr:col>0</xdr:col>
      <xdr:colOff>521970</xdr:colOff>
      <xdr:row>15</xdr:row>
      <xdr:rowOff>38100</xdr:rowOff>
    </xdr:from>
    <xdr:to>
      <xdr:col>3</xdr:col>
      <xdr:colOff>160020</xdr:colOff>
      <xdr:row>19</xdr:row>
      <xdr:rowOff>142875</xdr:rowOff>
    </xdr:to>
    <xdr:sp macro="" textlink="">
      <xdr:nvSpPr>
        <xdr:cNvPr id="2057" name="Note"/>
        <xdr:cNvSpPr txBox="1">
          <a:spLocks noChangeArrowheads="1"/>
        </xdr:cNvSpPr>
      </xdr:nvSpPr>
      <xdr:spPr bwMode="auto">
        <a:xfrm>
          <a:off x="514350" y="2533650"/>
          <a:ext cx="2486025" cy="7524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Maximize:    D6</a:t>
          </a:r>
        </a:p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By changing: B5:C5</a:t>
          </a:r>
        </a:p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Subject to:  D9:D11&lt;=E9:E11</a:t>
          </a:r>
        </a:p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             B5:C5&gt;=0, integer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236220</xdr:colOff>
      <xdr:row>0</xdr:row>
      <xdr:rowOff>66675</xdr:rowOff>
    </xdr:from>
    <xdr:to>
      <xdr:col>7</xdr:col>
      <xdr:colOff>47618</xdr:colOff>
      <xdr:row>2</xdr:row>
      <xdr:rowOff>0</xdr:rowOff>
    </xdr:to>
    <xdr:sp macro="[0]!Toggle" textlink="">
      <xdr:nvSpPr>
        <xdr:cNvPr id="11265" name="Text 1"/>
        <xdr:cNvSpPr>
          <a:spLocks noChangeArrowheads="1"/>
        </xdr:cNvSpPr>
      </xdr:nvSpPr>
      <xdr:spPr bwMode="auto">
        <a:xfrm>
          <a:off x="1066800" y="66675"/>
          <a:ext cx="2105025" cy="30480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Air-Express</a:t>
          </a:r>
        </a:p>
      </xdr:txBody>
    </xdr:sp>
    <xdr:clientData/>
  </xdr:twoCellAnchor>
  <xdr:twoCellAnchor>
    <xdr:from>
      <xdr:col>0</xdr:col>
      <xdr:colOff>245745</xdr:colOff>
      <xdr:row>14</xdr:row>
      <xdr:rowOff>66675</xdr:rowOff>
    </xdr:from>
    <xdr:to>
      <xdr:col>6</xdr:col>
      <xdr:colOff>198120</xdr:colOff>
      <xdr:row>20</xdr:row>
      <xdr:rowOff>57150</xdr:rowOff>
    </xdr:to>
    <xdr:sp macro="" textlink="">
      <xdr:nvSpPr>
        <xdr:cNvPr id="11266" name="Note"/>
        <xdr:cNvSpPr txBox="1">
          <a:spLocks noChangeArrowheads="1"/>
        </xdr:cNvSpPr>
      </xdr:nvSpPr>
      <xdr:spPr bwMode="auto">
        <a:xfrm>
          <a:off x="238125" y="2457450"/>
          <a:ext cx="2695575" cy="96202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J12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I5:I11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B12:H12&gt;=B13:H13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I5:I11&gt;=0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169545</xdr:colOff>
      <xdr:row>0</xdr:row>
      <xdr:rowOff>95250</xdr:rowOff>
    </xdr:from>
    <xdr:to>
      <xdr:col>5</xdr:col>
      <xdr:colOff>483870</xdr:colOff>
      <xdr:row>2</xdr:row>
      <xdr:rowOff>47625</xdr:rowOff>
    </xdr:to>
    <xdr:sp macro="[0]!Toggle" textlink="">
      <xdr:nvSpPr>
        <xdr:cNvPr id="3073" name="Text 1"/>
        <xdr:cNvSpPr>
          <a:spLocks noChangeArrowheads="1"/>
        </xdr:cNvSpPr>
      </xdr:nvSpPr>
      <xdr:spPr bwMode="auto">
        <a:xfrm>
          <a:off x="1685925" y="95250"/>
          <a:ext cx="2238375" cy="27622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CRT Technologies</a:t>
          </a:r>
        </a:p>
      </xdr:txBody>
    </xdr:sp>
    <xdr:clientData/>
  </xdr:twoCellAnchor>
  <xdr:twoCellAnchor>
    <xdr:from>
      <xdr:col>4</xdr:col>
      <xdr:colOff>350520</xdr:colOff>
      <xdr:row>15</xdr:row>
      <xdr:rowOff>38100</xdr:rowOff>
    </xdr:from>
    <xdr:to>
      <xdr:col>8</xdr:col>
      <xdr:colOff>245745</xdr:colOff>
      <xdr:row>19</xdr:row>
      <xdr:rowOff>38100</xdr:rowOff>
    </xdr:to>
    <xdr:sp macro="" textlink="">
      <xdr:nvSpPr>
        <xdr:cNvPr id="3074" name="Note"/>
        <xdr:cNvSpPr txBox="1">
          <a:spLocks noChangeArrowheads="1"/>
        </xdr:cNvSpPr>
      </xdr:nvSpPr>
      <xdr:spPr bwMode="auto">
        <a:xfrm>
          <a:off x="3181350" y="2514600"/>
          <a:ext cx="2333625" cy="65722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Maximize:    D15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B6:B11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D12:H12&lt;=E12:H12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B6:B11 binary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1383030</xdr:colOff>
      <xdr:row>0</xdr:row>
      <xdr:rowOff>93345</xdr:rowOff>
    </xdr:from>
    <xdr:to>
      <xdr:col>4</xdr:col>
      <xdr:colOff>171450</xdr:colOff>
      <xdr:row>2</xdr:row>
      <xdr:rowOff>104856</xdr:rowOff>
    </xdr:to>
    <xdr:sp macro="[0]!Toggle" textlink="">
      <xdr:nvSpPr>
        <xdr:cNvPr id="5121" name="Text 1"/>
        <xdr:cNvSpPr>
          <a:spLocks noChangeArrowheads="1"/>
        </xdr:cNvSpPr>
      </xdr:nvSpPr>
      <xdr:spPr bwMode="auto">
        <a:xfrm>
          <a:off x="1352550" y="85725"/>
          <a:ext cx="2343150" cy="34290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Remington Manufacturing</a:t>
          </a:r>
        </a:p>
      </xdr:txBody>
    </xdr:sp>
    <xdr:clientData/>
  </xdr:twoCellAnchor>
  <xdr:twoCellAnchor>
    <xdr:from>
      <xdr:col>4</xdr:col>
      <xdr:colOff>9525</xdr:colOff>
      <xdr:row>16</xdr:row>
      <xdr:rowOff>131445</xdr:rowOff>
    </xdr:from>
    <xdr:to>
      <xdr:col>8</xdr:col>
      <xdr:colOff>321945</xdr:colOff>
      <xdr:row>22</xdr:row>
      <xdr:rowOff>160020</xdr:rowOff>
    </xdr:to>
    <xdr:sp macro="" textlink="">
      <xdr:nvSpPr>
        <xdr:cNvPr id="5122" name="Note"/>
        <xdr:cNvSpPr txBox="1">
          <a:spLocks noChangeArrowheads="1"/>
        </xdr:cNvSpPr>
      </xdr:nvSpPr>
      <xdr:spPr bwMode="auto">
        <a:xfrm>
          <a:off x="3533775" y="2752725"/>
          <a:ext cx="2971800" cy="100012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Maximize:    F8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B5:D5 &amp; B15:D15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E11:E13&lt;=F11:F13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B16:D16&lt;=0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B5:D5&gt;=0 &amp; integer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B15:D15 binary</a:t>
          </a:r>
        </a:p>
      </xdr:txBody>
    </xdr:sp>
    <xdr:clientData/>
  </xdr:twoCellAnchor>
  <xdr:twoCellAnchor editAs="oneCell">
    <xdr:from>
      <xdr:col>7</xdr:col>
      <xdr:colOff>45720</xdr:colOff>
      <xdr:row>0</xdr:row>
      <xdr:rowOff>60960</xdr:rowOff>
    </xdr:from>
    <xdr:to>
      <xdr:col>16</xdr:col>
      <xdr:colOff>243840</xdr:colOff>
      <xdr:row>21</xdr:row>
      <xdr:rowOff>129540</xdr:rowOff>
    </xdr:to>
    <xdr:pic>
      <xdr:nvPicPr>
        <xdr:cNvPr id="5188" name="Picture 1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930"/>
        <a:stretch>
          <a:fillRect/>
        </a:stretch>
      </xdr:blipFill>
      <xdr:spPr bwMode="auto">
        <a:xfrm>
          <a:off x="5768340" y="60960"/>
          <a:ext cx="5821680" cy="36195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1383030</xdr:colOff>
      <xdr:row>0</xdr:row>
      <xdr:rowOff>93345</xdr:rowOff>
    </xdr:from>
    <xdr:to>
      <xdr:col>4</xdr:col>
      <xdr:colOff>171450</xdr:colOff>
      <xdr:row>2</xdr:row>
      <xdr:rowOff>104856</xdr:rowOff>
    </xdr:to>
    <xdr:sp macro="[0]!Toggle" textlink="">
      <xdr:nvSpPr>
        <xdr:cNvPr id="9217" name="Text 1"/>
        <xdr:cNvSpPr>
          <a:spLocks noChangeArrowheads="1"/>
        </xdr:cNvSpPr>
      </xdr:nvSpPr>
      <xdr:spPr bwMode="auto">
        <a:xfrm>
          <a:off x="1352550" y="85725"/>
          <a:ext cx="2343150" cy="34290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Remington Manufacturing</a:t>
          </a:r>
        </a:p>
      </xdr:txBody>
    </xdr:sp>
    <xdr:clientData/>
  </xdr:twoCellAnchor>
  <xdr:twoCellAnchor>
    <xdr:from>
      <xdr:col>7</xdr:col>
      <xdr:colOff>0</xdr:colOff>
      <xdr:row>0</xdr:row>
      <xdr:rowOff>104775</xdr:rowOff>
    </xdr:from>
    <xdr:to>
      <xdr:col>11</xdr:col>
      <xdr:colOff>548640</xdr:colOff>
      <xdr:row>8</xdr:row>
      <xdr:rowOff>142875</xdr:rowOff>
    </xdr:to>
    <xdr:sp macro="" textlink="">
      <xdr:nvSpPr>
        <xdr:cNvPr id="9231" name="Note"/>
        <xdr:cNvSpPr txBox="1">
          <a:spLocks noChangeArrowheads="1"/>
        </xdr:cNvSpPr>
      </xdr:nvSpPr>
      <xdr:spPr bwMode="auto">
        <a:xfrm>
          <a:off x="5581650" y="104775"/>
          <a:ext cx="2971800" cy="13620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Maximize:    F8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B5:D5 &amp; B15:D15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E11:E13&lt;=F11:F13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B16:D16&lt;=0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B5:D5&gt;=0 &amp; integer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B15:D15 binary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D17&gt;=0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D19&lt;=0 (linking)</a:t>
          </a:r>
        </a:p>
      </xdr:txBody>
    </xdr:sp>
    <xdr:clientData/>
  </xdr:twoCellAnchor>
  <xdr:twoCellAnchor editAs="oneCell">
    <xdr:from>
      <xdr:col>0</xdr:col>
      <xdr:colOff>68580</xdr:colOff>
      <xdr:row>21</xdr:row>
      <xdr:rowOff>0</xdr:rowOff>
    </xdr:from>
    <xdr:to>
      <xdr:col>6</xdr:col>
      <xdr:colOff>579120</xdr:colOff>
      <xdr:row>39</xdr:row>
      <xdr:rowOff>30480</xdr:rowOff>
    </xdr:to>
    <xdr:pic>
      <xdr:nvPicPr>
        <xdr:cNvPr id="9284" name="Picture 1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0717"/>
        <a:stretch>
          <a:fillRect/>
        </a:stretch>
      </xdr:blipFill>
      <xdr:spPr bwMode="auto">
        <a:xfrm>
          <a:off x="68580" y="3611880"/>
          <a:ext cx="5608320" cy="304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1383030</xdr:colOff>
      <xdr:row>0</xdr:row>
      <xdr:rowOff>93345</xdr:rowOff>
    </xdr:from>
    <xdr:to>
      <xdr:col>4</xdr:col>
      <xdr:colOff>171450</xdr:colOff>
      <xdr:row>2</xdr:row>
      <xdr:rowOff>104856</xdr:rowOff>
    </xdr:to>
    <xdr:sp macro="" textlink="">
      <xdr:nvSpPr>
        <xdr:cNvPr id="7169" name="Text 1"/>
        <xdr:cNvSpPr>
          <a:spLocks noChangeArrowheads="1"/>
        </xdr:cNvSpPr>
      </xdr:nvSpPr>
      <xdr:spPr bwMode="auto">
        <a:xfrm>
          <a:off x="1352550" y="85725"/>
          <a:ext cx="2343150" cy="34290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Remington Manufacturing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0</xdr:row>
      <xdr:rowOff>131445</xdr:rowOff>
    </xdr:from>
    <xdr:to>
      <xdr:col>4</xdr:col>
      <xdr:colOff>598164</xdr:colOff>
      <xdr:row>2</xdr:row>
      <xdr:rowOff>93345</xdr:rowOff>
    </xdr:to>
    <xdr:sp macro="[1]!Toggle" textlink="">
      <xdr:nvSpPr>
        <xdr:cNvPr id="2" name="Text 1"/>
        <xdr:cNvSpPr>
          <a:spLocks noChangeArrowheads="1"/>
        </xdr:cNvSpPr>
      </xdr:nvSpPr>
      <xdr:spPr bwMode="auto">
        <a:xfrm>
          <a:off x="1323975" y="123825"/>
          <a:ext cx="2343150" cy="28575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B&amp;G Construction</a:t>
          </a:r>
        </a:p>
      </xdr:txBody>
    </xdr:sp>
    <xdr:clientData/>
  </xdr:twoCellAnchor>
  <xdr:twoCellAnchor>
    <xdr:from>
      <xdr:col>6</xdr:col>
      <xdr:colOff>76200</xdr:colOff>
      <xdr:row>0</xdr:row>
      <xdr:rowOff>66675</xdr:rowOff>
    </xdr:from>
    <xdr:to>
      <xdr:col>9</xdr:col>
      <xdr:colOff>493389</xdr:colOff>
      <xdr:row>16</xdr:row>
      <xdr:rowOff>47625</xdr:rowOff>
    </xdr:to>
    <xdr:sp macro="" textlink="">
      <xdr:nvSpPr>
        <xdr:cNvPr id="3" name="Note" hidden="1"/>
        <xdr:cNvSpPr txBox="1">
          <a:spLocks noChangeArrowheads="1"/>
        </xdr:cNvSpPr>
      </xdr:nvSpPr>
      <xdr:spPr bwMode="auto">
        <a:xfrm>
          <a:off x="4371975" y="66675"/>
          <a:ext cx="2371725" cy="26193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G17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B12:E14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B21:E21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B26:E26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B31:D31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F12:F14&lt;=G12:G14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B15:E15&gt;=B16:E16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B22:E22&lt;=0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B23:E23&gt;=0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B27:E27&lt;=0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E28&lt;=1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D32=0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D33&lt;=1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B21:E21 binary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B26:E26 binary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B31:D31 binary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B12:E14&gt;=0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g6-2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ule1"/>
      <sheetName val="Cement Contract Report"/>
      <sheetName val="Fig6-25"/>
    </sheetNames>
    <definedNames>
      <definedName name="Toggle"/>
    </definedNames>
    <sheetDataSet>
      <sheetData sheetId="0" refreshError="1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1"/>
  <dimension ref="A2:N17"/>
  <sheetViews>
    <sheetView tabSelected="1" zoomScale="120" workbookViewId="0">
      <selection activeCell="E14" sqref="E14"/>
    </sheetView>
  </sheetViews>
  <sheetFormatPr defaultColWidth="9.6640625" defaultRowHeight="13.2" x14ac:dyDescent="0.25"/>
  <cols>
    <col min="1" max="1" width="16.6640625" bestFit="1" customWidth="1"/>
    <col min="2" max="3" width="13" customWidth="1"/>
    <col min="4" max="4" width="11.6640625" bestFit="1" customWidth="1"/>
    <col min="5" max="5" width="9.5546875" bestFit="1" customWidth="1"/>
  </cols>
  <sheetData>
    <row r="2" spans="1:14" ht="15" x14ac:dyDescent="0.25">
      <c r="A2" s="4"/>
      <c r="B2" s="16"/>
      <c r="C2" s="17"/>
      <c r="D2" s="18"/>
      <c r="E2" s="4"/>
      <c r="F2" s="1"/>
      <c r="G2" s="1"/>
      <c r="H2" s="1"/>
    </row>
    <row r="3" spans="1:14" x14ac:dyDescent="0.25">
      <c r="A3" s="4"/>
      <c r="B3" s="4"/>
      <c r="C3" s="4"/>
      <c r="D3" s="4"/>
      <c r="E3" s="4"/>
      <c r="F3" s="2"/>
      <c r="G3" s="3" t="s">
        <v>0</v>
      </c>
      <c r="H3" s="2"/>
      <c r="I3" s="2"/>
    </row>
    <row r="4" spans="1:14" x14ac:dyDescent="0.25">
      <c r="A4" s="4"/>
      <c r="B4" s="5" t="s">
        <v>1</v>
      </c>
      <c r="C4" s="5" t="s">
        <v>2</v>
      </c>
      <c r="D4" s="4"/>
      <c r="E4" s="4"/>
      <c r="F4" s="2"/>
      <c r="G4" s="3" t="s">
        <v>0</v>
      </c>
      <c r="H4" s="2"/>
      <c r="I4" s="1"/>
      <c r="J4" s="1"/>
      <c r="K4" s="1"/>
      <c r="L4" s="1"/>
      <c r="M4" s="1"/>
      <c r="N4" s="1"/>
    </row>
    <row r="5" spans="1:14" ht="13.8" thickBot="1" x14ac:dyDescent="0.3">
      <c r="A5" s="19" t="s">
        <v>8</v>
      </c>
      <c r="B5" s="20">
        <v>0</v>
      </c>
      <c r="C5" s="20">
        <v>0</v>
      </c>
      <c r="D5" s="5" t="s">
        <v>7</v>
      </c>
      <c r="E5" s="4"/>
      <c r="G5" s="1"/>
      <c r="H5" s="1"/>
      <c r="I5" s="2"/>
    </row>
    <row r="6" spans="1:14" ht="14.4" thickTop="1" thickBot="1" x14ac:dyDescent="0.3">
      <c r="A6" s="6" t="s">
        <v>5</v>
      </c>
      <c r="B6" s="9">
        <v>350</v>
      </c>
      <c r="C6" s="9">
        <v>300</v>
      </c>
      <c r="D6" s="13">
        <f>B6*B5+C6*C5</f>
        <v>0</v>
      </c>
      <c r="E6" s="4"/>
      <c r="F6" s="2"/>
      <c r="G6" s="2"/>
      <c r="H6" s="2"/>
      <c r="I6" s="1"/>
    </row>
    <row r="7" spans="1:14" ht="13.8" thickTop="1" x14ac:dyDescent="0.25">
      <c r="B7" s="8"/>
      <c r="C7" s="8"/>
      <c r="D7" s="4"/>
      <c r="E7" s="7"/>
      <c r="F7" s="2"/>
      <c r="G7" s="2"/>
      <c r="H7" s="2"/>
      <c r="I7" s="1"/>
    </row>
    <row r="8" spans="1:14" x14ac:dyDescent="0.25">
      <c r="A8" s="6" t="s">
        <v>6</v>
      </c>
      <c r="B8" s="8"/>
      <c r="C8" s="8"/>
      <c r="D8" s="5" t="s">
        <v>3</v>
      </c>
      <c r="E8" s="5" t="s">
        <v>4</v>
      </c>
      <c r="F8" s="2"/>
      <c r="G8" s="2"/>
      <c r="H8" s="2"/>
    </row>
    <row r="9" spans="1:14" x14ac:dyDescent="0.25">
      <c r="A9" s="6" t="s">
        <v>9</v>
      </c>
      <c r="B9" s="10">
        <v>1</v>
      </c>
      <c r="C9" s="10">
        <v>1</v>
      </c>
      <c r="D9" s="14">
        <f>B9*B5+C9*C5</f>
        <v>0</v>
      </c>
      <c r="E9" s="11">
        <v>200</v>
      </c>
      <c r="F9" s="1"/>
      <c r="G9" s="1"/>
      <c r="H9" s="1"/>
    </row>
    <row r="10" spans="1:14" x14ac:dyDescent="0.25">
      <c r="A10" s="6" t="s">
        <v>10</v>
      </c>
      <c r="B10" s="10">
        <v>9</v>
      </c>
      <c r="C10" s="10">
        <v>6</v>
      </c>
      <c r="D10" s="15">
        <f>B10*B5+C10*C5</f>
        <v>0</v>
      </c>
      <c r="E10" s="10">
        <v>1520</v>
      </c>
    </row>
    <row r="11" spans="1:14" x14ac:dyDescent="0.25">
      <c r="A11" s="6" t="s">
        <v>11</v>
      </c>
      <c r="B11" s="10">
        <v>12</v>
      </c>
      <c r="C11" s="10">
        <v>16</v>
      </c>
      <c r="D11" s="15">
        <f>B11*B5+C11*C5</f>
        <v>0</v>
      </c>
      <c r="E11" s="10">
        <v>2650</v>
      </c>
    </row>
    <row r="12" spans="1:14" x14ac:dyDescent="0.25">
      <c r="B12" s="4"/>
      <c r="C12" s="4"/>
      <c r="D12" s="4"/>
      <c r="E12" s="4"/>
    </row>
    <row r="13" spans="1:14" x14ac:dyDescent="0.25">
      <c r="B13" s="1"/>
      <c r="C13" s="1"/>
      <c r="D13" s="1"/>
      <c r="F13" s="12"/>
    </row>
    <row r="14" spans="1:14" x14ac:dyDescent="0.25">
      <c r="B14" s="2"/>
      <c r="C14" s="2"/>
      <c r="D14" s="2"/>
      <c r="F14" s="12"/>
    </row>
    <row r="15" spans="1:14" x14ac:dyDescent="0.25">
      <c r="B15" s="2"/>
      <c r="C15" s="2"/>
      <c r="D15" s="2"/>
      <c r="F15" s="12"/>
    </row>
    <row r="16" spans="1:14" x14ac:dyDescent="0.25">
      <c r="B16" s="2"/>
      <c r="C16" s="2"/>
      <c r="D16" s="2"/>
      <c r="F16" s="12"/>
    </row>
    <row r="17" spans="2:4" x14ac:dyDescent="0.25">
      <c r="B17" s="1"/>
      <c r="C17" s="1"/>
      <c r="D17" s="1"/>
    </row>
  </sheetData>
  <phoneticPr fontId="0" type="noConversion"/>
  <printOptions gridLines="1" gridLinesSet="0"/>
  <pageMargins left="0.75" right="0.75" top="1" bottom="1" header="0.5" footer="0.5"/>
  <pageSetup orientation="portrait" horizontalDpi="4294967292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N17"/>
  <sheetViews>
    <sheetView workbookViewId="0">
      <selection activeCell="F19" sqref="F19"/>
    </sheetView>
  </sheetViews>
  <sheetFormatPr defaultColWidth="9.6640625" defaultRowHeight="13.2" x14ac:dyDescent="0.25"/>
  <cols>
    <col min="1" max="1" width="16.6640625" bestFit="1" customWidth="1"/>
    <col min="2" max="3" width="13" customWidth="1"/>
    <col min="4" max="4" width="11.6640625" bestFit="1" customWidth="1"/>
    <col min="5" max="5" width="9.5546875" bestFit="1" customWidth="1"/>
  </cols>
  <sheetData>
    <row r="2" spans="1:14" ht="15" x14ac:dyDescent="0.25">
      <c r="A2" s="4"/>
      <c r="B2" s="16"/>
      <c r="C2" s="17"/>
      <c r="D2" s="4"/>
      <c r="E2" s="4"/>
      <c r="F2" s="1"/>
      <c r="G2" s="1"/>
      <c r="H2" s="1"/>
    </row>
    <row r="3" spans="1:14" x14ac:dyDescent="0.25">
      <c r="A3" s="4"/>
      <c r="B3" s="4"/>
      <c r="C3" s="4"/>
      <c r="D3" s="4"/>
      <c r="E3" s="4"/>
      <c r="F3" s="2"/>
      <c r="G3" s="3" t="s">
        <v>0</v>
      </c>
      <c r="H3" s="2"/>
      <c r="I3" s="2"/>
    </row>
    <row r="4" spans="1:14" x14ac:dyDescent="0.25">
      <c r="A4" s="4"/>
      <c r="B4" s="5" t="s">
        <v>1</v>
      </c>
      <c r="C4" s="5" t="s">
        <v>2</v>
      </c>
      <c r="D4" s="4"/>
      <c r="E4" s="4"/>
      <c r="F4" s="2"/>
      <c r="G4" s="3" t="s">
        <v>0</v>
      </c>
      <c r="H4" s="2"/>
      <c r="I4" s="1"/>
      <c r="J4" s="1"/>
      <c r="K4" s="1"/>
      <c r="L4" s="1"/>
      <c r="M4" s="1"/>
      <c r="N4" s="1"/>
    </row>
    <row r="5" spans="1:14" ht="13.8" thickBot="1" x14ac:dyDescent="0.3">
      <c r="A5" s="19" t="s">
        <v>8</v>
      </c>
      <c r="B5" s="91">
        <v>118</v>
      </c>
      <c r="C5" s="91">
        <v>76</v>
      </c>
      <c r="D5" s="5" t="s">
        <v>7</v>
      </c>
      <c r="E5" s="4"/>
      <c r="G5" s="1"/>
      <c r="H5" s="1"/>
      <c r="I5" s="2"/>
    </row>
    <row r="6" spans="1:14" ht="14.4" thickTop="1" thickBot="1" x14ac:dyDescent="0.3">
      <c r="A6" s="6" t="s">
        <v>5</v>
      </c>
      <c r="B6" s="9">
        <v>350</v>
      </c>
      <c r="C6" s="9">
        <v>300</v>
      </c>
      <c r="D6" s="13">
        <f>B6*B5+C6*C5</f>
        <v>64100</v>
      </c>
      <c r="E6" s="4"/>
      <c r="F6" s="2"/>
      <c r="G6" s="2"/>
      <c r="H6" s="2"/>
      <c r="I6" s="1"/>
    </row>
    <row r="7" spans="1:14" ht="13.8" thickTop="1" x14ac:dyDescent="0.25">
      <c r="B7" s="8"/>
      <c r="C7" s="8"/>
      <c r="D7" s="4"/>
      <c r="E7" s="7"/>
      <c r="F7" s="2"/>
      <c r="G7" s="2"/>
      <c r="H7" s="2"/>
      <c r="I7" s="1"/>
    </row>
    <row r="8" spans="1:14" x14ac:dyDescent="0.25">
      <c r="A8" s="6" t="s">
        <v>6</v>
      </c>
      <c r="B8" s="8"/>
      <c r="C8" s="8"/>
      <c r="D8" s="5" t="s">
        <v>3</v>
      </c>
      <c r="E8" s="5" t="s">
        <v>4</v>
      </c>
      <c r="F8" s="2"/>
      <c r="G8" s="2"/>
      <c r="H8" s="2"/>
    </row>
    <row r="9" spans="1:14" x14ac:dyDescent="0.25">
      <c r="A9" s="6" t="s">
        <v>12</v>
      </c>
      <c r="B9" s="10">
        <v>1</v>
      </c>
      <c r="C9" s="10">
        <v>1</v>
      </c>
      <c r="D9" s="14">
        <f>B9*B5+C9*C5</f>
        <v>194</v>
      </c>
      <c r="E9" s="11">
        <v>200</v>
      </c>
      <c r="F9" s="1"/>
      <c r="G9" s="1"/>
      <c r="H9" s="1"/>
    </row>
    <row r="10" spans="1:14" x14ac:dyDescent="0.25">
      <c r="A10" s="6" t="s">
        <v>13</v>
      </c>
      <c r="B10" s="10">
        <v>9</v>
      </c>
      <c r="C10" s="10">
        <v>6</v>
      </c>
      <c r="D10" s="15">
        <f>B10*B5+C10*C5</f>
        <v>1518</v>
      </c>
      <c r="E10" s="10">
        <v>1520</v>
      </c>
    </row>
    <row r="11" spans="1:14" x14ac:dyDescent="0.25">
      <c r="A11" s="6" t="s">
        <v>14</v>
      </c>
      <c r="B11" s="10">
        <v>12</v>
      </c>
      <c r="C11" s="10">
        <v>16</v>
      </c>
      <c r="D11" s="15">
        <f>B11*B5+C11*C5</f>
        <v>2632</v>
      </c>
      <c r="E11" s="10">
        <v>2650</v>
      </c>
    </row>
    <row r="12" spans="1:14" x14ac:dyDescent="0.25">
      <c r="B12" s="4"/>
      <c r="C12" s="4"/>
      <c r="D12" s="4"/>
      <c r="E12" s="4"/>
    </row>
    <row r="13" spans="1:14" x14ac:dyDescent="0.25">
      <c r="B13" s="1"/>
      <c r="C13" s="1"/>
      <c r="D13" s="1"/>
      <c r="F13" s="12"/>
    </row>
    <row r="14" spans="1:14" x14ac:dyDescent="0.25">
      <c r="B14" s="2"/>
      <c r="C14" s="2"/>
      <c r="D14" s="2"/>
      <c r="F14" s="12"/>
    </row>
    <row r="15" spans="1:14" x14ac:dyDescent="0.25">
      <c r="B15" s="2"/>
      <c r="C15" s="2"/>
      <c r="D15" s="2"/>
      <c r="F15" s="12"/>
    </row>
    <row r="16" spans="1:14" x14ac:dyDescent="0.25">
      <c r="B16" s="2"/>
      <c r="C16" s="2"/>
      <c r="D16" s="2"/>
      <c r="F16" s="12"/>
    </row>
    <row r="17" spans="2:4" x14ac:dyDescent="0.25">
      <c r="B17" s="1"/>
      <c r="C17" s="1"/>
      <c r="D17" s="1"/>
    </row>
  </sheetData>
  <dataConsolidate/>
  <phoneticPr fontId="11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21"/>
  <sheetViews>
    <sheetView workbookViewId="0">
      <selection activeCell="M15" sqref="M15"/>
    </sheetView>
  </sheetViews>
  <sheetFormatPr defaultColWidth="9.6640625" defaultRowHeight="13.2" x14ac:dyDescent="0.25"/>
  <cols>
    <col min="1" max="1" width="12.5546875" style="4" customWidth="1"/>
    <col min="2" max="8" width="5.6640625" style="4" customWidth="1"/>
    <col min="9" max="10" width="12.33203125" style="4" customWidth="1"/>
    <col min="11" max="16384" width="9.6640625" style="4"/>
  </cols>
  <sheetData>
    <row r="1" spans="1:15" ht="15.75" customHeight="1" x14ac:dyDescent="0.25">
      <c r="C1" s="21"/>
      <c r="D1" s="50"/>
      <c r="E1" s="50"/>
      <c r="F1" s="50"/>
      <c r="G1" s="50"/>
      <c r="M1" s="51"/>
      <c r="N1" s="51"/>
      <c r="O1" s="51"/>
    </row>
    <row r="2" spans="1:15" ht="13.5" customHeight="1" x14ac:dyDescent="0.25">
      <c r="F2"/>
      <c r="M2" s="52"/>
      <c r="N2" s="52"/>
      <c r="O2" s="52"/>
    </row>
    <row r="3" spans="1:15" ht="15" customHeight="1" x14ac:dyDescent="0.25">
      <c r="A3" s="19"/>
      <c r="B3" s="53" t="s">
        <v>44</v>
      </c>
      <c r="C3" s="22"/>
      <c r="D3" s="21"/>
      <c r="E3" s="21"/>
      <c r="F3" s="21"/>
      <c r="G3" s="21"/>
      <c r="H3" s="21"/>
      <c r="I3" s="5" t="s">
        <v>45</v>
      </c>
      <c r="J3" s="54" t="s">
        <v>46</v>
      </c>
      <c r="M3" s="52"/>
      <c r="N3" s="52"/>
      <c r="O3" s="52"/>
    </row>
    <row r="4" spans="1:15" ht="13.8" thickBot="1" x14ac:dyDescent="0.3">
      <c r="A4" s="55" t="s">
        <v>47</v>
      </c>
      <c r="B4" s="55" t="s">
        <v>48</v>
      </c>
      <c r="C4" s="55" t="s">
        <v>49</v>
      </c>
      <c r="D4" s="55" t="s">
        <v>50</v>
      </c>
      <c r="E4" s="55" t="s">
        <v>51</v>
      </c>
      <c r="F4" s="55" t="s">
        <v>52</v>
      </c>
      <c r="G4" s="55" t="s">
        <v>53</v>
      </c>
      <c r="H4" s="55" t="s">
        <v>54</v>
      </c>
      <c r="I4" s="55" t="s">
        <v>55</v>
      </c>
      <c r="J4" s="56" t="s">
        <v>56</v>
      </c>
      <c r="M4" s="52"/>
      <c r="N4" s="52"/>
      <c r="O4" s="52"/>
    </row>
    <row r="5" spans="1:15" x14ac:dyDescent="0.25">
      <c r="A5" s="5" t="s">
        <v>57</v>
      </c>
      <c r="B5" s="57">
        <v>0</v>
      </c>
      <c r="C5" s="57">
        <v>0</v>
      </c>
      <c r="D5" s="57">
        <v>1</v>
      </c>
      <c r="E5" s="57">
        <v>1</v>
      </c>
      <c r="F5" s="57">
        <v>1</v>
      </c>
      <c r="G5" s="57">
        <v>1</v>
      </c>
      <c r="H5" s="57">
        <v>1</v>
      </c>
      <c r="I5" s="20">
        <v>0.99999999999999867</v>
      </c>
      <c r="J5" s="58">
        <v>680</v>
      </c>
      <c r="M5" s="52"/>
      <c r="N5" s="52"/>
      <c r="O5" s="52"/>
    </row>
    <row r="6" spans="1:15" x14ac:dyDescent="0.25">
      <c r="A6" s="5" t="s">
        <v>58</v>
      </c>
      <c r="B6" s="57">
        <v>1</v>
      </c>
      <c r="C6" s="57">
        <v>0</v>
      </c>
      <c r="D6" s="57">
        <v>0</v>
      </c>
      <c r="E6" s="57">
        <v>1</v>
      </c>
      <c r="F6" s="57">
        <v>1</v>
      </c>
      <c r="G6" s="57">
        <v>1</v>
      </c>
      <c r="H6" s="57">
        <v>1</v>
      </c>
      <c r="I6" s="20">
        <v>5</v>
      </c>
      <c r="J6" s="58">
        <v>705</v>
      </c>
      <c r="M6" s="52"/>
      <c r="N6" s="52"/>
      <c r="O6" s="52"/>
    </row>
    <row r="7" spans="1:15" x14ac:dyDescent="0.25">
      <c r="A7" s="5" t="s">
        <v>59</v>
      </c>
      <c r="B7" s="57">
        <v>1</v>
      </c>
      <c r="C7" s="57">
        <v>1</v>
      </c>
      <c r="D7" s="57">
        <v>0</v>
      </c>
      <c r="E7" s="57">
        <v>0</v>
      </c>
      <c r="F7" s="57">
        <v>1</v>
      </c>
      <c r="G7" s="57">
        <v>1</v>
      </c>
      <c r="H7" s="57">
        <v>1</v>
      </c>
      <c r="I7" s="20">
        <v>5</v>
      </c>
      <c r="J7" s="58">
        <v>705</v>
      </c>
      <c r="M7" s="52"/>
      <c r="N7" s="52"/>
      <c r="O7" s="52"/>
    </row>
    <row r="8" spans="1:15" x14ac:dyDescent="0.25">
      <c r="A8" s="5" t="s">
        <v>60</v>
      </c>
      <c r="B8" s="57">
        <v>1</v>
      </c>
      <c r="C8" s="57">
        <v>1</v>
      </c>
      <c r="D8" s="57">
        <v>1</v>
      </c>
      <c r="E8" s="57">
        <v>0</v>
      </c>
      <c r="F8" s="57">
        <v>0</v>
      </c>
      <c r="G8" s="57">
        <v>1</v>
      </c>
      <c r="H8" s="57">
        <v>1</v>
      </c>
      <c r="I8" s="20">
        <v>0</v>
      </c>
      <c r="J8" s="58">
        <v>705</v>
      </c>
      <c r="M8" s="51"/>
      <c r="N8" s="51"/>
      <c r="O8" s="51"/>
    </row>
    <row r="9" spans="1:15" x14ac:dyDescent="0.25">
      <c r="A9" s="5" t="s">
        <v>61</v>
      </c>
      <c r="B9" s="57">
        <v>1</v>
      </c>
      <c r="C9" s="57">
        <v>1</v>
      </c>
      <c r="D9" s="57">
        <v>1</v>
      </c>
      <c r="E9" s="57">
        <v>1</v>
      </c>
      <c r="F9" s="57">
        <v>0</v>
      </c>
      <c r="G9" s="57">
        <v>0</v>
      </c>
      <c r="H9" s="57">
        <v>1</v>
      </c>
      <c r="I9" s="20">
        <v>8</v>
      </c>
      <c r="J9" s="58">
        <v>705</v>
      </c>
      <c r="M9" s="52"/>
      <c r="N9" s="52"/>
      <c r="O9" s="52"/>
    </row>
    <row r="10" spans="1:15" x14ac:dyDescent="0.25">
      <c r="A10" s="5" t="s">
        <v>62</v>
      </c>
      <c r="B10" s="57">
        <v>1</v>
      </c>
      <c r="C10" s="57">
        <v>1</v>
      </c>
      <c r="D10" s="57">
        <v>1</v>
      </c>
      <c r="E10" s="57">
        <v>1</v>
      </c>
      <c r="F10" s="57">
        <v>1</v>
      </c>
      <c r="G10" s="57">
        <v>0</v>
      </c>
      <c r="H10" s="57">
        <v>0</v>
      </c>
      <c r="I10" s="20">
        <v>0</v>
      </c>
      <c r="J10" s="58">
        <v>680</v>
      </c>
      <c r="M10" s="52"/>
      <c r="N10" s="52"/>
      <c r="O10" s="52"/>
    </row>
    <row r="11" spans="1:15" ht="13.8" thickBot="1" x14ac:dyDescent="0.3">
      <c r="A11" s="55" t="s">
        <v>63</v>
      </c>
      <c r="B11" s="59">
        <v>0</v>
      </c>
      <c r="C11" s="59">
        <v>1</v>
      </c>
      <c r="D11" s="59">
        <v>1</v>
      </c>
      <c r="E11" s="59">
        <v>1</v>
      </c>
      <c r="F11" s="59">
        <v>1</v>
      </c>
      <c r="G11" s="59">
        <v>1</v>
      </c>
      <c r="H11" s="59">
        <v>0</v>
      </c>
      <c r="I11" s="20">
        <v>14.000000000000002</v>
      </c>
      <c r="J11" s="60">
        <v>655</v>
      </c>
      <c r="M11" s="52"/>
      <c r="N11" s="52"/>
      <c r="O11" s="52"/>
    </row>
    <row r="12" spans="1:15" ht="14.4" thickTop="1" thickBot="1" x14ac:dyDescent="0.3">
      <c r="A12" s="6" t="s">
        <v>4</v>
      </c>
      <c r="B12" s="61">
        <f>SUMPRODUCT(B5:B11,$I$5:$I$11)</f>
        <v>18</v>
      </c>
      <c r="C12" s="61">
        <f t="shared" ref="C12:J12" si="0">SUMPRODUCT(C5:C11,$I$5:$I$11)</f>
        <v>27</v>
      </c>
      <c r="D12" s="61">
        <f t="shared" si="0"/>
        <v>23</v>
      </c>
      <c r="E12" s="61">
        <f t="shared" si="0"/>
        <v>28</v>
      </c>
      <c r="F12" s="61">
        <f t="shared" si="0"/>
        <v>25</v>
      </c>
      <c r="G12" s="61">
        <f t="shared" si="0"/>
        <v>25</v>
      </c>
      <c r="H12" s="61">
        <f t="shared" si="0"/>
        <v>19</v>
      </c>
      <c r="I12" s="62" t="s">
        <v>64</v>
      </c>
      <c r="J12" s="13">
        <f t="shared" si="0"/>
        <v>22540</v>
      </c>
      <c r="M12" s="52"/>
      <c r="N12" s="52"/>
      <c r="O12" s="52"/>
    </row>
    <row r="13" spans="1:15" ht="13.8" thickTop="1" x14ac:dyDescent="0.25">
      <c r="A13" s="6" t="s">
        <v>65</v>
      </c>
      <c r="B13" s="57">
        <v>18</v>
      </c>
      <c r="C13" s="57">
        <v>27</v>
      </c>
      <c r="D13" s="57">
        <v>22</v>
      </c>
      <c r="E13" s="57">
        <v>26</v>
      </c>
      <c r="F13" s="57">
        <v>25</v>
      </c>
      <c r="G13" s="57">
        <v>21</v>
      </c>
      <c r="H13" s="57">
        <v>19</v>
      </c>
      <c r="M13" s="52"/>
      <c r="N13" s="52"/>
      <c r="O13" s="52"/>
    </row>
    <row r="14" spans="1:15" x14ac:dyDescent="0.25">
      <c r="I14" s="63"/>
      <c r="M14" s="52"/>
      <c r="N14" s="52"/>
      <c r="O14" s="52"/>
    </row>
    <row r="15" spans="1:15" x14ac:dyDescent="0.25">
      <c r="B15" s="64"/>
      <c r="C15" s="64"/>
      <c r="D15" s="64"/>
      <c r="E15" s="64"/>
      <c r="F15" s="64"/>
      <c r="G15" s="64"/>
      <c r="H15" s="64"/>
      <c r="I15" s="63"/>
      <c r="M15" s="51"/>
      <c r="N15" s="51"/>
      <c r="O15" s="51"/>
    </row>
    <row r="16" spans="1:15" x14ac:dyDescent="0.25">
      <c r="B16" s="64"/>
      <c r="C16" s="64"/>
      <c r="D16" s="64"/>
      <c r="E16" s="64"/>
      <c r="F16" s="64"/>
      <c r="G16" s="64"/>
      <c r="H16" s="64"/>
      <c r="I16" s="63"/>
    </row>
    <row r="17" spans="2:9" x14ac:dyDescent="0.25">
      <c r="B17" s="64"/>
      <c r="C17" s="64"/>
      <c r="D17" s="64"/>
      <c r="E17" s="64"/>
      <c r="F17" s="64"/>
      <c r="G17" s="64"/>
      <c r="H17" s="64"/>
      <c r="I17" s="63"/>
    </row>
    <row r="18" spans="2:9" x14ac:dyDescent="0.25">
      <c r="B18" s="64"/>
      <c r="C18" s="64"/>
      <c r="D18" s="64"/>
      <c r="E18" s="64"/>
      <c r="F18" s="64"/>
      <c r="G18" s="64"/>
      <c r="H18" s="64"/>
      <c r="I18" s="63"/>
    </row>
    <row r="19" spans="2:9" x14ac:dyDescent="0.25">
      <c r="B19" s="64"/>
      <c r="C19" s="64"/>
      <c r="D19" s="64"/>
      <c r="E19" s="64"/>
      <c r="F19" s="64"/>
      <c r="G19" s="64"/>
      <c r="H19" s="64"/>
      <c r="I19" s="63"/>
    </row>
    <row r="20" spans="2:9" x14ac:dyDescent="0.25">
      <c r="B20" s="64"/>
      <c r="C20" s="64"/>
      <c r="D20" s="64"/>
      <c r="E20" s="64"/>
      <c r="F20" s="64"/>
      <c r="G20" s="64"/>
      <c r="H20" s="64"/>
      <c r="I20" s="65"/>
    </row>
    <row r="21" spans="2:9" x14ac:dyDescent="0.25">
      <c r="B21" s="66"/>
      <c r="C21" s="66"/>
      <c r="D21" s="66"/>
      <c r="E21" s="66"/>
      <c r="F21" s="66"/>
      <c r="G21" s="66"/>
      <c r="H21" s="66"/>
    </row>
  </sheetData>
  <phoneticPr fontId="11" type="noConversion"/>
  <pageMargins left="0.75" right="0.75" top="1" bottom="1" header="0.5" footer="0.5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6"/>
  <sheetViews>
    <sheetView workbookViewId="0">
      <selection activeCell="C24" sqref="C24"/>
    </sheetView>
  </sheetViews>
  <sheetFormatPr defaultColWidth="9.109375" defaultRowHeight="13.2" x14ac:dyDescent="0.25"/>
  <cols>
    <col min="1" max="1" width="9.109375" style="4"/>
    <col min="2" max="2" width="13.6640625" style="4" customWidth="1"/>
    <col min="3" max="3" width="10.5546875" style="4" customWidth="1"/>
    <col min="4" max="16384" width="9.109375" style="4"/>
  </cols>
  <sheetData>
    <row r="1" spans="1:8" x14ac:dyDescent="0.25">
      <c r="A1" s="21"/>
      <c r="B1" s="22"/>
      <c r="C1" s="22"/>
      <c r="D1" s="21"/>
      <c r="E1" s="21"/>
      <c r="F1" s="21"/>
      <c r="G1" s="21"/>
      <c r="H1" s="22"/>
    </row>
    <row r="4" spans="1:8" x14ac:dyDescent="0.25">
      <c r="A4" s="23"/>
      <c r="B4" s="24" t="s">
        <v>15</v>
      </c>
      <c r="C4" s="19"/>
      <c r="D4" s="25" t="s">
        <v>16</v>
      </c>
      <c r="E4" s="26"/>
      <c r="F4" s="25"/>
      <c r="G4" s="25"/>
      <c r="H4" s="25"/>
    </row>
    <row r="5" spans="1:8" ht="13.8" thickBot="1" x14ac:dyDescent="0.3">
      <c r="A5" s="27" t="s">
        <v>17</v>
      </c>
      <c r="B5" s="27" t="s">
        <v>18</v>
      </c>
      <c r="C5" s="27" t="s">
        <v>19</v>
      </c>
      <c r="D5" s="28" t="s">
        <v>20</v>
      </c>
      <c r="E5" s="28" t="s">
        <v>21</v>
      </c>
      <c r="F5" s="28" t="s">
        <v>22</v>
      </c>
      <c r="G5" s="28" t="s">
        <v>23</v>
      </c>
      <c r="H5" s="28" t="s">
        <v>24</v>
      </c>
    </row>
    <row r="6" spans="1:8" x14ac:dyDescent="0.25">
      <c r="A6" s="24">
        <v>1</v>
      </c>
      <c r="B6" s="29">
        <v>1</v>
      </c>
      <c r="C6" s="30">
        <v>141</v>
      </c>
      <c r="D6" s="30">
        <v>75</v>
      </c>
      <c r="E6" s="30">
        <v>25</v>
      </c>
      <c r="F6" s="30">
        <v>20</v>
      </c>
      <c r="G6" s="30">
        <v>15</v>
      </c>
      <c r="H6" s="30">
        <v>10</v>
      </c>
    </row>
    <row r="7" spans="1:8" x14ac:dyDescent="0.25">
      <c r="A7" s="24">
        <v>2</v>
      </c>
      <c r="B7" s="29">
        <v>0</v>
      </c>
      <c r="C7" s="30">
        <v>187</v>
      </c>
      <c r="D7" s="30">
        <v>90</v>
      </c>
      <c r="E7" s="30">
        <v>35</v>
      </c>
      <c r="F7" s="30">
        <v>0</v>
      </c>
      <c r="G7" s="30">
        <v>0</v>
      </c>
      <c r="H7" s="30">
        <v>30</v>
      </c>
    </row>
    <row r="8" spans="1:8" x14ac:dyDescent="0.25">
      <c r="A8" s="24">
        <v>3</v>
      </c>
      <c r="B8" s="29">
        <v>0</v>
      </c>
      <c r="C8" s="30">
        <v>121</v>
      </c>
      <c r="D8" s="30">
        <v>60</v>
      </c>
      <c r="E8" s="30">
        <v>15</v>
      </c>
      <c r="F8" s="30">
        <v>15</v>
      </c>
      <c r="G8" s="30">
        <v>15</v>
      </c>
      <c r="H8" s="30">
        <v>15</v>
      </c>
    </row>
    <row r="9" spans="1:8" x14ac:dyDescent="0.25">
      <c r="A9" s="24">
        <v>4</v>
      </c>
      <c r="B9" s="29">
        <v>1</v>
      </c>
      <c r="C9" s="30">
        <v>83</v>
      </c>
      <c r="D9" s="30">
        <v>30</v>
      </c>
      <c r="E9" s="30">
        <v>20</v>
      </c>
      <c r="F9" s="30">
        <v>10</v>
      </c>
      <c r="G9" s="30">
        <v>5</v>
      </c>
      <c r="H9" s="30">
        <v>5</v>
      </c>
    </row>
    <row r="10" spans="1:8" x14ac:dyDescent="0.25">
      <c r="A10" s="24">
        <v>5</v>
      </c>
      <c r="B10" s="29">
        <v>1</v>
      </c>
      <c r="C10" s="30">
        <v>265</v>
      </c>
      <c r="D10" s="30">
        <v>100</v>
      </c>
      <c r="E10" s="30">
        <v>25</v>
      </c>
      <c r="F10" s="30">
        <v>20</v>
      </c>
      <c r="G10" s="30">
        <v>20</v>
      </c>
      <c r="H10" s="30">
        <v>20</v>
      </c>
    </row>
    <row r="11" spans="1:8" ht="13.8" thickBot="1" x14ac:dyDescent="0.3">
      <c r="A11" s="24">
        <v>6</v>
      </c>
      <c r="B11" s="31">
        <v>0</v>
      </c>
      <c r="C11" s="30">
        <v>127</v>
      </c>
      <c r="D11" s="32">
        <v>50</v>
      </c>
      <c r="E11" s="32">
        <v>20</v>
      </c>
      <c r="F11" s="32">
        <v>10</v>
      </c>
      <c r="G11" s="32">
        <v>30</v>
      </c>
      <c r="H11" s="32">
        <v>40</v>
      </c>
    </row>
    <row r="12" spans="1:8" x14ac:dyDescent="0.25">
      <c r="A12" s="33"/>
      <c r="B12" s="33"/>
      <c r="C12" s="34" t="s">
        <v>25</v>
      </c>
      <c r="D12" s="35">
        <f>SUMPRODUCT(D6:D11,$B$6:$B$11)</f>
        <v>205</v>
      </c>
      <c r="E12" s="35">
        <f>SUMPRODUCT(E6:E11,$B$6:$B$11)</f>
        <v>70</v>
      </c>
      <c r="F12" s="35">
        <f>SUMPRODUCT(F6:F11,$B$6:$B$11)</f>
        <v>50</v>
      </c>
      <c r="G12" s="35">
        <f>SUMPRODUCT(G6:G11,$B$6:$B$11)</f>
        <v>40</v>
      </c>
      <c r="H12" s="35">
        <f>SUMPRODUCT(H6:H11,$B$6:$B$11)</f>
        <v>35</v>
      </c>
    </row>
    <row r="13" spans="1:8" x14ac:dyDescent="0.25">
      <c r="C13" s="36" t="s">
        <v>26</v>
      </c>
      <c r="D13" s="37">
        <v>250</v>
      </c>
      <c r="E13" s="37">
        <v>75</v>
      </c>
      <c r="F13" s="37">
        <v>50</v>
      </c>
      <c r="G13" s="37">
        <v>50</v>
      </c>
      <c r="H13" s="37">
        <v>50</v>
      </c>
    </row>
    <row r="14" spans="1:8" ht="13.8" thickBot="1" x14ac:dyDescent="0.3"/>
    <row r="15" spans="1:8" ht="14.4" thickTop="1" thickBot="1" x14ac:dyDescent="0.3">
      <c r="C15" s="36" t="s">
        <v>27</v>
      </c>
      <c r="D15" s="38">
        <f>SUMPRODUCT(C6:C11,$B$6:$B$11)</f>
        <v>489</v>
      </c>
    </row>
    <row r="16" spans="1:8" ht="13.8" thickTop="1" x14ac:dyDescent="0.25"/>
  </sheetData>
  <phoneticPr fontId="11" type="noConversion"/>
  <pageMargins left="0.75" right="0.75" top="1" bottom="1" header="0.5" footer="0.5"/>
  <headerFooter alignWithMargins="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16"/>
  <sheetViews>
    <sheetView workbookViewId="0">
      <selection activeCell="B16" sqref="B16"/>
    </sheetView>
  </sheetViews>
  <sheetFormatPr defaultColWidth="9.109375" defaultRowHeight="13.2" x14ac:dyDescent="0.25"/>
  <cols>
    <col min="1" max="1" width="20.6640625" style="4" customWidth="1"/>
    <col min="2" max="4" width="10.6640625" style="8" customWidth="1"/>
    <col min="5" max="5" width="9.109375" style="8"/>
    <col min="6" max="6" width="12.5546875" style="8" customWidth="1"/>
    <col min="7" max="16384" width="9.109375" style="4"/>
  </cols>
  <sheetData>
    <row r="1" spans="1:7" x14ac:dyDescent="0.25">
      <c r="A1" s="21"/>
      <c r="B1" s="39"/>
      <c r="C1" s="39"/>
      <c r="D1" s="39"/>
      <c r="E1" s="39"/>
      <c r="F1" s="39"/>
      <c r="G1" s="22"/>
    </row>
    <row r="2" spans="1:7" x14ac:dyDescent="0.25">
      <c r="A2" s="21"/>
      <c r="B2" s="39"/>
      <c r="C2" s="39"/>
      <c r="D2" s="39"/>
      <c r="E2" s="39"/>
      <c r="F2" s="39"/>
      <c r="G2" s="22"/>
    </row>
    <row r="4" spans="1:7" x14ac:dyDescent="0.25">
      <c r="B4" s="39" t="s">
        <v>28</v>
      </c>
      <c r="C4" s="39" t="s">
        <v>29</v>
      </c>
      <c r="D4" s="39" t="s">
        <v>30</v>
      </c>
    </row>
    <row r="5" spans="1:7" x14ac:dyDescent="0.25">
      <c r="A5" s="40" t="s">
        <v>31</v>
      </c>
      <c r="B5" s="41">
        <v>0</v>
      </c>
      <c r="C5" s="41">
        <v>56</v>
      </c>
      <c r="D5" s="41">
        <v>32.000000000000007</v>
      </c>
    </row>
    <row r="6" spans="1:7" x14ac:dyDescent="0.25">
      <c r="A6" s="19"/>
    </row>
    <row r="7" spans="1:7" ht="13.8" thickBot="1" x14ac:dyDescent="0.3">
      <c r="A7" s="19" t="s">
        <v>32</v>
      </c>
      <c r="B7" s="42">
        <v>48</v>
      </c>
      <c r="C7" s="42">
        <v>55</v>
      </c>
      <c r="D7" s="42">
        <v>50</v>
      </c>
      <c r="E7"/>
      <c r="F7" s="39" t="s">
        <v>7</v>
      </c>
    </row>
    <row r="8" spans="1:7" ht="14.4" thickTop="1" thickBot="1" x14ac:dyDescent="0.3">
      <c r="A8" s="19" t="s">
        <v>33</v>
      </c>
      <c r="B8" s="42">
        <v>1000</v>
      </c>
      <c r="C8" s="42">
        <v>800</v>
      </c>
      <c r="D8" s="42">
        <v>900</v>
      </c>
      <c r="E8"/>
      <c r="F8" s="38">
        <f>SUMPRODUCT(B7:D7,B5:D5)-SUMPRODUCT(B8:D8,B15:D15)</f>
        <v>2980</v>
      </c>
    </row>
    <row r="9" spans="1:7" ht="13.8" thickTop="1" x14ac:dyDescent="0.25">
      <c r="A9" s="19"/>
    </row>
    <row r="10" spans="1:7" x14ac:dyDescent="0.25">
      <c r="A10" s="23" t="s">
        <v>34</v>
      </c>
      <c r="B10" s="26" t="s">
        <v>35</v>
      </c>
      <c r="C10" s="43"/>
      <c r="D10" s="43"/>
      <c r="E10" s="24" t="s">
        <v>3</v>
      </c>
      <c r="F10" s="24" t="s">
        <v>4</v>
      </c>
    </row>
    <row r="11" spans="1:7" x14ac:dyDescent="0.25">
      <c r="A11" s="19" t="s">
        <v>36</v>
      </c>
      <c r="B11" s="44">
        <v>2</v>
      </c>
      <c r="C11" s="44">
        <v>3</v>
      </c>
      <c r="D11" s="44">
        <v>6</v>
      </c>
      <c r="E11" s="45">
        <f>SUMPRODUCT(B11:D11,$B$5:$D$5)</f>
        <v>360.00000000000006</v>
      </c>
      <c r="F11" s="44">
        <v>600</v>
      </c>
    </row>
    <row r="12" spans="1:7" x14ac:dyDescent="0.25">
      <c r="A12" s="19" t="s">
        <v>37</v>
      </c>
      <c r="B12" s="44">
        <v>6</v>
      </c>
      <c r="C12" s="44">
        <v>3</v>
      </c>
      <c r="D12" s="44">
        <v>4</v>
      </c>
      <c r="E12" s="45">
        <f>SUMPRODUCT(B12:D12,$B$5:$D$5)</f>
        <v>296</v>
      </c>
      <c r="F12" s="44">
        <v>300</v>
      </c>
    </row>
    <row r="13" spans="1:7" x14ac:dyDescent="0.25">
      <c r="A13" s="23" t="s">
        <v>38</v>
      </c>
      <c r="B13" s="46">
        <v>5</v>
      </c>
      <c r="C13" s="46">
        <v>6</v>
      </c>
      <c r="D13" s="46">
        <v>2</v>
      </c>
      <c r="E13" s="45">
        <f>SUMPRODUCT(B13:D13,$B$5:$D$5)</f>
        <v>400</v>
      </c>
      <c r="F13" s="46">
        <v>400</v>
      </c>
    </row>
    <row r="14" spans="1:7" x14ac:dyDescent="0.25">
      <c r="A14" s="23"/>
      <c r="B14" s="47"/>
      <c r="C14" s="47"/>
      <c r="D14" s="47"/>
    </row>
    <row r="15" spans="1:7" x14ac:dyDescent="0.25">
      <c r="A15" s="19" t="s">
        <v>39</v>
      </c>
      <c r="B15" s="90">
        <v>0</v>
      </c>
      <c r="C15" s="90">
        <v>1</v>
      </c>
      <c r="D15" s="90">
        <v>1</v>
      </c>
    </row>
    <row r="16" spans="1:7" x14ac:dyDescent="0.25">
      <c r="A16" s="23" t="s">
        <v>40</v>
      </c>
      <c r="B16" s="45">
        <f>B5-MIN($F$11/B11,$F$12/B12,$F$13/B13)*B15</f>
        <v>0</v>
      </c>
      <c r="C16" s="45">
        <f>C5-MIN($F$11/C11,$F$12/C12,$F$13/C13)*C15</f>
        <v>-10.666666666666671</v>
      </c>
      <c r="D16" s="45">
        <f>D5-MIN($F$11/D11,$F$12/D12,$F$13/D13)*D15</f>
        <v>-42.999999999999993</v>
      </c>
    </row>
  </sheetData>
  <phoneticPr fontId="11" type="noConversion"/>
  <pageMargins left="0.75" right="0.75" top="1" bottom="1" header="0.5" footer="0.5"/>
  <headerFooter alignWithMargins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G20"/>
  <sheetViews>
    <sheetView topLeftCell="A4" workbookViewId="0">
      <selection activeCell="D17" sqref="D17"/>
    </sheetView>
  </sheetViews>
  <sheetFormatPr defaultColWidth="9.109375" defaultRowHeight="13.2" x14ac:dyDescent="0.25"/>
  <cols>
    <col min="1" max="1" width="20.6640625" style="4" customWidth="1"/>
    <col min="2" max="4" width="10.6640625" style="8" customWidth="1"/>
    <col min="5" max="5" width="9.109375" style="8"/>
    <col min="6" max="6" width="12.5546875" style="8" customWidth="1"/>
    <col min="7" max="16384" width="9.109375" style="4"/>
  </cols>
  <sheetData>
    <row r="1" spans="1:7" x14ac:dyDescent="0.25">
      <c r="A1" s="21"/>
      <c r="B1" s="39"/>
      <c r="C1" s="39"/>
      <c r="D1" s="39"/>
      <c r="E1" s="39"/>
      <c r="F1" s="39"/>
      <c r="G1" s="22"/>
    </row>
    <row r="2" spans="1:7" x14ac:dyDescent="0.25">
      <c r="A2" s="21"/>
      <c r="B2" s="39"/>
      <c r="C2" s="39"/>
      <c r="D2" s="39"/>
      <c r="E2" s="39"/>
      <c r="F2" s="39"/>
      <c r="G2" s="22"/>
    </row>
    <row r="4" spans="1:7" x14ac:dyDescent="0.25">
      <c r="B4" s="39" t="s">
        <v>28</v>
      </c>
      <c r="C4" s="39" t="s">
        <v>29</v>
      </c>
      <c r="D4" s="39" t="s">
        <v>30</v>
      </c>
    </row>
    <row r="5" spans="1:7" x14ac:dyDescent="0.25">
      <c r="A5" s="40" t="s">
        <v>31</v>
      </c>
      <c r="B5" s="41">
        <v>0</v>
      </c>
      <c r="C5" s="41">
        <v>0</v>
      </c>
      <c r="D5" s="41">
        <v>75</v>
      </c>
    </row>
    <row r="6" spans="1:7" x14ac:dyDescent="0.25">
      <c r="A6" s="19"/>
    </row>
    <row r="7" spans="1:7" ht="13.8" thickBot="1" x14ac:dyDescent="0.3">
      <c r="A7" s="19" t="s">
        <v>32</v>
      </c>
      <c r="B7" s="42">
        <v>48</v>
      </c>
      <c r="C7" s="42">
        <v>55</v>
      </c>
      <c r="D7" s="42">
        <v>50</v>
      </c>
      <c r="E7"/>
      <c r="F7" s="39" t="s">
        <v>7</v>
      </c>
    </row>
    <row r="8" spans="1:7" ht="14.4" thickTop="1" thickBot="1" x14ac:dyDescent="0.3">
      <c r="A8" s="19" t="s">
        <v>33</v>
      </c>
      <c r="B8" s="42">
        <v>1000</v>
      </c>
      <c r="C8" s="42">
        <v>800</v>
      </c>
      <c r="D8" s="42">
        <v>900</v>
      </c>
      <c r="E8"/>
      <c r="F8" s="38">
        <f>SUMPRODUCT(B7:D7,B5:D5)-SUMPRODUCT(B8:D8,B15:D15)</f>
        <v>2850</v>
      </c>
    </row>
    <row r="9" spans="1:7" ht="13.8" thickTop="1" x14ac:dyDescent="0.25">
      <c r="A9" s="19"/>
    </row>
    <row r="10" spans="1:7" x14ac:dyDescent="0.25">
      <c r="A10" s="23" t="s">
        <v>34</v>
      </c>
      <c r="B10" s="26" t="s">
        <v>35</v>
      </c>
      <c r="C10" s="43"/>
      <c r="D10" s="43"/>
      <c r="E10" s="24" t="s">
        <v>3</v>
      </c>
      <c r="F10" s="24" t="s">
        <v>4</v>
      </c>
    </row>
    <row r="11" spans="1:7" x14ac:dyDescent="0.25">
      <c r="A11" s="19" t="s">
        <v>36</v>
      </c>
      <c r="B11" s="44">
        <v>2</v>
      </c>
      <c r="C11" s="44">
        <v>3</v>
      </c>
      <c r="D11" s="44">
        <v>6</v>
      </c>
      <c r="E11" s="45">
        <f>SUMPRODUCT(B11:D11,$B$5:$D$5)</f>
        <v>450</v>
      </c>
      <c r="F11" s="44">
        <v>600</v>
      </c>
    </row>
    <row r="12" spans="1:7" x14ac:dyDescent="0.25">
      <c r="A12" s="19" t="s">
        <v>37</v>
      </c>
      <c r="B12" s="44">
        <v>6</v>
      </c>
      <c r="C12" s="44">
        <v>3</v>
      </c>
      <c r="D12" s="44">
        <v>4</v>
      </c>
      <c r="E12" s="45">
        <f>SUMPRODUCT(B12:D12,$B$5:$D$5)</f>
        <v>300</v>
      </c>
      <c r="F12" s="44">
        <v>300</v>
      </c>
    </row>
    <row r="13" spans="1:7" x14ac:dyDescent="0.25">
      <c r="A13" s="23" t="s">
        <v>38</v>
      </c>
      <c r="B13" s="46">
        <v>5</v>
      </c>
      <c r="C13" s="46">
        <v>6</v>
      </c>
      <c r="D13" s="46">
        <v>2</v>
      </c>
      <c r="E13" s="45">
        <f>SUMPRODUCT(B13:D13,$B$5:$D$5)</f>
        <v>150</v>
      </c>
      <c r="F13" s="46">
        <v>400</v>
      </c>
    </row>
    <row r="14" spans="1:7" x14ac:dyDescent="0.25">
      <c r="A14" s="23"/>
      <c r="B14" s="47"/>
      <c r="C14" s="47"/>
      <c r="D14" s="47"/>
    </row>
    <row r="15" spans="1:7" x14ac:dyDescent="0.25">
      <c r="A15" s="19" t="s">
        <v>39</v>
      </c>
      <c r="B15" s="41">
        <v>0</v>
      </c>
      <c r="C15" s="41">
        <v>0</v>
      </c>
      <c r="D15" s="41">
        <v>1</v>
      </c>
    </row>
    <row r="16" spans="1:7" x14ac:dyDescent="0.25">
      <c r="A16" s="23" t="s">
        <v>40</v>
      </c>
      <c r="B16" s="45">
        <f>B5-MIN($F$11/B11,$F$12/B12,$F$13/B13)*B15</f>
        <v>0</v>
      </c>
      <c r="C16" s="45">
        <f>C5-MIN($F$11/C11,$F$12/C12,$F$13/C13)*C15</f>
        <v>0</v>
      </c>
      <c r="D16" s="45">
        <f>D5-MIN($F$11/D11,$F$12/D12,$F$13/D13)*D15</f>
        <v>0</v>
      </c>
    </row>
    <row r="17" spans="1:5" ht="15.6" x14ac:dyDescent="0.35">
      <c r="A17" s="48" t="s">
        <v>41</v>
      </c>
      <c r="D17" s="45">
        <f>D5-(D18*D15)</f>
        <v>35</v>
      </c>
      <c r="E17" s="49" t="s">
        <v>42</v>
      </c>
    </row>
    <row r="18" spans="1:5" x14ac:dyDescent="0.25">
      <c r="A18" s="48" t="s">
        <v>43</v>
      </c>
      <c r="D18" s="67">
        <v>40</v>
      </c>
    </row>
    <row r="19" spans="1:5" ht="15.6" x14ac:dyDescent="0.35">
      <c r="A19" s="48" t="s">
        <v>66</v>
      </c>
      <c r="D19" s="45">
        <f>D5-D20*D15</f>
        <v>0</v>
      </c>
      <c r="E19" s="49" t="s">
        <v>68</v>
      </c>
    </row>
    <row r="20" spans="1:5" x14ac:dyDescent="0.25">
      <c r="A20" s="48" t="s">
        <v>67</v>
      </c>
      <c r="D20" s="67">
        <v>75</v>
      </c>
    </row>
  </sheetData>
  <phoneticPr fontId="11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G15"/>
  <sheetViews>
    <sheetView workbookViewId="0">
      <selection activeCell="J14" sqref="J14"/>
    </sheetView>
  </sheetViews>
  <sheetFormatPr defaultColWidth="9.109375" defaultRowHeight="13.2" x14ac:dyDescent="0.25"/>
  <cols>
    <col min="1" max="1" width="20.6640625" style="4" customWidth="1"/>
    <col min="2" max="4" width="10.6640625" style="8" customWidth="1"/>
    <col min="5" max="5" width="9.109375" style="8"/>
    <col min="6" max="6" width="12.5546875" style="8" customWidth="1"/>
    <col min="7" max="16384" width="9.109375" style="4"/>
  </cols>
  <sheetData>
    <row r="1" spans="1:7" x14ac:dyDescent="0.25">
      <c r="A1" s="21"/>
      <c r="B1" s="39"/>
      <c r="C1" s="39"/>
      <c r="D1" s="39"/>
      <c r="E1" s="39"/>
      <c r="F1" s="39"/>
      <c r="G1" s="22"/>
    </row>
    <row r="2" spans="1:7" x14ac:dyDescent="0.25">
      <c r="A2" s="21"/>
      <c r="B2" s="39"/>
      <c r="C2" s="39"/>
      <c r="D2" s="39"/>
      <c r="E2" s="39"/>
      <c r="F2" s="39"/>
      <c r="G2" s="22"/>
    </row>
    <row r="4" spans="1:7" x14ac:dyDescent="0.25">
      <c r="B4" s="39" t="s">
        <v>28</v>
      </c>
      <c r="C4" s="39" t="s">
        <v>29</v>
      </c>
      <c r="D4" s="39" t="s">
        <v>30</v>
      </c>
    </row>
    <row r="5" spans="1:7" x14ac:dyDescent="0.25">
      <c r="A5" s="40" t="s">
        <v>31</v>
      </c>
      <c r="B5" s="41">
        <v>0</v>
      </c>
      <c r="C5" s="41">
        <v>0</v>
      </c>
      <c r="D5" s="41">
        <v>0</v>
      </c>
    </row>
    <row r="6" spans="1:7" x14ac:dyDescent="0.25">
      <c r="A6" s="19"/>
    </row>
    <row r="7" spans="1:7" ht="13.8" thickBot="1" x14ac:dyDescent="0.3">
      <c r="A7" s="19" t="s">
        <v>32</v>
      </c>
      <c r="B7" s="42">
        <v>48</v>
      </c>
      <c r="C7" s="42">
        <v>55</v>
      </c>
      <c r="D7" s="42">
        <v>50</v>
      </c>
      <c r="E7"/>
      <c r="F7" s="39" t="s">
        <v>7</v>
      </c>
    </row>
    <row r="8" spans="1:7" ht="14.4" thickTop="1" thickBot="1" x14ac:dyDescent="0.3">
      <c r="A8" s="19" t="s">
        <v>33</v>
      </c>
      <c r="B8" s="42">
        <v>1000</v>
      </c>
      <c r="C8" s="42">
        <v>800</v>
      </c>
      <c r="D8" s="42">
        <v>900</v>
      </c>
      <c r="E8"/>
      <c r="F8" s="38">
        <f>SUMPRODUCT(B7:D7,B5:D5)-SUMPRODUCT(B8:D8,B15:D15)</f>
        <v>0</v>
      </c>
    </row>
    <row r="9" spans="1:7" ht="13.8" thickTop="1" x14ac:dyDescent="0.25">
      <c r="A9" s="19"/>
    </row>
    <row r="10" spans="1:7" x14ac:dyDescent="0.25">
      <c r="A10" s="23" t="s">
        <v>34</v>
      </c>
      <c r="B10" s="26" t="s">
        <v>35</v>
      </c>
      <c r="C10" s="43"/>
      <c r="D10" s="43"/>
      <c r="E10" s="24" t="s">
        <v>3</v>
      </c>
      <c r="F10" s="24" t="s">
        <v>4</v>
      </c>
    </row>
    <row r="11" spans="1:7" x14ac:dyDescent="0.25">
      <c r="A11" s="19" t="s">
        <v>36</v>
      </c>
      <c r="B11" s="44">
        <v>2</v>
      </c>
      <c r="C11" s="44">
        <v>3</v>
      </c>
      <c r="D11" s="44">
        <v>6</v>
      </c>
      <c r="E11" s="45">
        <f>SUMPRODUCT(B11:D11,$B$5:$D$5)</f>
        <v>0</v>
      </c>
      <c r="F11" s="44">
        <v>600</v>
      </c>
    </row>
    <row r="12" spans="1:7" x14ac:dyDescent="0.25">
      <c r="A12" s="19" t="s">
        <v>37</v>
      </c>
      <c r="B12" s="44">
        <v>6</v>
      </c>
      <c r="C12" s="44">
        <v>3</v>
      </c>
      <c r="D12" s="44">
        <v>4</v>
      </c>
      <c r="E12" s="45">
        <f>SUMPRODUCT(B12:D12,$B$5:$D$5)</f>
        <v>0</v>
      </c>
      <c r="F12" s="44">
        <v>300</v>
      </c>
    </row>
    <row r="13" spans="1:7" x14ac:dyDescent="0.25">
      <c r="A13" s="23" t="s">
        <v>38</v>
      </c>
      <c r="B13" s="46">
        <v>5</v>
      </c>
      <c r="C13" s="46">
        <v>6</v>
      </c>
      <c r="D13" s="46">
        <v>2</v>
      </c>
      <c r="E13" s="45">
        <f>SUMPRODUCT(B13:D13,$B$5:$D$5)</f>
        <v>0</v>
      </c>
      <c r="F13" s="46">
        <v>400</v>
      </c>
    </row>
    <row r="14" spans="1:7" x14ac:dyDescent="0.25">
      <c r="A14" s="23"/>
      <c r="B14" s="47"/>
      <c r="C14" s="47"/>
      <c r="D14" s="47"/>
    </row>
    <row r="15" spans="1:7" x14ac:dyDescent="0.25">
      <c r="A15" s="19" t="s">
        <v>39</v>
      </c>
      <c r="B15" s="41">
        <f>IF(B5&gt;0,1,0)</f>
        <v>0</v>
      </c>
      <c r="C15" s="41">
        <f>IF(C5&gt;0,1,0)</f>
        <v>0</v>
      </c>
      <c r="D15" s="41">
        <f>IF(D5&gt;0,1,0)</f>
        <v>0</v>
      </c>
    </row>
  </sheetData>
  <phoneticPr fontId="11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H33"/>
  <sheetViews>
    <sheetView topLeftCell="A13" workbookViewId="0">
      <selection activeCell="E27" sqref="E27"/>
    </sheetView>
  </sheetViews>
  <sheetFormatPr defaultColWidth="9.109375" defaultRowHeight="13.2" x14ac:dyDescent="0.25"/>
  <cols>
    <col min="1" max="1" width="18.88671875" style="70" customWidth="1"/>
    <col min="2" max="2" width="9" style="70" customWidth="1"/>
    <col min="3" max="6" width="9.109375" style="70"/>
    <col min="7" max="7" width="11.109375" style="70" customWidth="1"/>
    <col min="8" max="16384" width="9.109375" style="70"/>
  </cols>
  <sheetData>
    <row r="2" spans="1:8" x14ac:dyDescent="0.25">
      <c r="A2" s="68"/>
      <c r="B2" s="69"/>
      <c r="C2" s="68"/>
      <c r="D2" s="68"/>
      <c r="E2" s="68"/>
      <c r="F2" s="68"/>
      <c r="G2" s="68"/>
      <c r="H2" s="69"/>
    </row>
    <row r="3" spans="1:8" x14ac:dyDescent="0.25">
      <c r="A3" s="68"/>
      <c r="B3" s="69"/>
      <c r="C3" s="68"/>
      <c r="D3" s="68"/>
      <c r="E3" s="68"/>
      <c r="F3" s="68"/>
      <c r="G3" s="68"/>
      <c r="H3" s="69"/>
    </row>
    <row r="4" spans="1:8" x14ac:dyDescent="0.25">
      <c r="B4" s="68" t="s">
        <v>69</v>
      </c>
      <c r="C4" s="69"/>
      <c r="D4" s="69"/>
      <c r="E4" s="69"/>
    </row>
    <row r="5" spans="1:8" ht="13.8" thickBot="1" x14ac:dyDescent="0.3">
      <c r="A5" s="71"/>
      <c r="B5" s="72" t="s">
        <v>70</v>
      </c>
      <c r="C5" s="72" t="s">
        <v>71</v>
      </c>
      <c r="D5" s="72" t="s">
        <v>72</v>
      </c>
      <c r="E5" s="72" t="s">
        <v>73</v>
      </c>
      <c r="F5" s="73"/>
    </row>
    <row r="6" spans="1:8" x14ac:dyDescent="0.25">
      <c r="A6" s="74" t="s">
        <v>74</v>
      </c>
      <c r="B6" s="30">
        <v>120</v>
      </c>
      <c r="C6" s="30">
        <v>115</v>
      </c>
      <c r="D6" s="30">
        <v>130</v>
      </c>
      <c r="E6" s="30">
        <v>125</v>
      </c>
      <c r="F6" s="73"/>
    </row>
    <row r="7" spans="1:8" x14ac:dyDescent="0.25">
      <c r="A7" s="74" t="s">
        <v>75</v>
      </c>
      <c r="B7" s="30">
        <v>100</v>
      </c>
      <c r="C7" s="30">
        <v>150</v>
      </c>
      <c r="D7" s="30">
        <v>110</v>
      </c>
      <c r="E7" s="30">
        <v>105</v>
      </c>
      <c r="F7" s="73"/>
    </row>
    <row r="8" spans="1:8" ht="13.8" thickBot="1" x14ac:dyDescent="0.3">
      <c r="A8" s="75" t="s">
        <v>76</v>
      </c>
      <c r="B8" s="32">
        <v>140</v>
      </c>
      <c r="C8" s="32">
        <v>95</v>
      </c>
      <c r="D8" s="32">
        <v>145</v>
      </c>
      <c r="E8" s="32">
        <v>165</v>
      </c>
      <c r="F8" s="73"/>
    </row>
    <row r="9" spans="1:8" x14ac:dyDescent="0.25">
      <c r="A9" s="73"/>
      <c r="B9" s="73"/>
      <c r="C9" s="73"/>
      <c r="D9" s="73"/>
      <c r="E9" s="73"/>
      <c r="F9" s="73"/>
    </row>
    <row r="10" spans="1:8" x14ac:dyDescent="0.25">
      <c r="B10" s="68" t="s">
        <v>77</v>
      </c>
      <c r="C10" s="68"/>
      <c r="D10" s="68"/>
      <c r="E10" s="68"/>
    </row>
    <row r="11" spans="1:8" ht="13.8" thickBot="1" x14ac:dyDescent="0.3">
      <c r="A11" s="71"/>
      <c r="B11" s="72" t="s">
        <v>70</v>
      </c>
      <c r="C11" s="72" t="s">
        <v>71</v>
      </c>
      <c r="D11" s="72" t="s">
        <v>72</v>
      </c>
      <c r="E11" s="72" t="s">
        <v>73</v>
      </c>
      <c r="F11" s="72" t="s">
        <v>78</v>
      </c>
      <c r="G11" s="72" t="s">
        <v>4</v>
      </c>
    </row>
    <row r="12" spans="1:8" x14ac:dyDescent="0.25">
      <c r="A12" s="74" t="s">
        <v>74</v>
      </c>
      <c r="B12" s="76">
        <v>150</v>
      </c>
      <c r="C12" s="76">
        <v>0</v>
      </c>
      <c r="D12" s="76">
        <v>175</v>
      </c>
      <c r="E12" s="76">
        <v>200</v>
      </c>
      <c r="F12" s="77">
        <f>SUM(B12:E12)</f>
        <v>525</v>
      </c>
      <c r="G12" s="78">
        <v>525</v>
      </c>
    </row>
    <row r="13" spans="1:8" x14ac:dyDescent="0.25">
      <c r="A13" s="74" t="s">
        <v>75</v>
      </c>
      <c r="B13" s="76">
        <v>300</v>
      </c>
      <c r="C13" s="76">
        <v>0</v>
      </c>
      <c r="D13" s="76">
        <v>0</v>
      </c>
      <c r="E13" s="76">
        <v>150</v>
      </c>
      <c r="F13" s="77">
        <f>SUM(B13:E13)</f>
        <v>450</v>
      </c>
      <c r="G13" s="78">
        <v>450</v>
      </c>
    </row>
    <row r="14" spans="1:8" ht="13.8" thickBot="1" x14ac:dyDescent="0.3">
      <c r="A14" s="75" t="s">
        <v>76</v>
      </c>
      <c r="B14" s="79">
        <v>0</v>
      </c>
      <c r="C14" s="79">
        <v>275</v>
      </c>
      <c r="D14" s="79">
        <v>125</v>
      </c>
      <c r="E14" s="79">
        <v>0</v>
      </c>
      <c r="F14" s="80">
        <f>SUM(B14:E14)</f>
        <v>400</v>
      </c>
      <c r="G14" s="81">
        <v>550</v>
      </c>
    </row>
    <row r="15" spans="1:8" x14ac:dyDescent="0.25">
      <c r="A15" s="74" t="s">
        <v>79</v>
      </c>
      <c r="B15" s="82">
        <f>SUM(B12:B14)</f>
        <v>450</v>
      </c>
      <c r="C15" s="82">
        <f>SUM(C12:C14)</f>
        <v>275</v>
      </c>
      <c r="D15" s="82">
        <f>SUM(D12:D14)</f>
        <v>300</v>
      </c>
      <c r="E15" s="82">
        <f>SUM(E12:E14)</f>
        <v>350</v>
      </c>
      <c r="F15" s="83"/>
      <c r="G15" s="83"/>
    </row>
    <row r="16" spans="1:8" ht="13.8" thickBot="1" x14ac:dyDescent="0.3">
      <c r="A16" s="74" t="s">
        <v>80</v>
      </c>
      <c r="B16" s="78">
        <v>450</v>
      </c>
      <c r="C16" s="78">
        <v>275</v>
      </c>
      <c r="D16" s="78">
        <v>300</v>
      </c>
      <c r="E16" s="78">
        <v>350</v>
      </c>
      <c r="F16" s="73"/>
    </row>
    <row r="17" spans="1:7" ht="14.4" thickTop="1" thickBot="1" x14ac:dyDescent="0.3">
      <c r="A17" s="74"/>
      <c r="B17" s="83"/>
      <c r="C17" s="83"/>
      <c r="D17" s="83"/>
      <c r="E17" s="83"/>
      <c r="F17" s="84" t="s">
        <v>81</v>
      </c>
      <c r="G17" s="38">
        <f>SUMPRODUCT(B6:E8,B12:E14)</f>
        <v>155750</v>
      </c>
    </row>
    <row r="18" spans="1:7" ht="13.8" thickTop="1" x14ac:dyDescent="0.25">
      <c r="A18" s="74" t="s">
        <v>82</v>
      </c>
      <c r="B18" s="83"/>
      <c r="C18" s="83"/>
      <c r="D18" s="83"/>
      <c r="E18" s="83"/>
      <c r="F18" s="85"/>
      <c r="G18" s="85"/>
    </row>
    <row r="20" spans="1:7" x14ac:dyDescent="0.25">
      <c r="A20" s="86" t="s">
        <v>83</v>
      </c>
      <c r="B20" s="87">
        <v>150</v>
      </c>
    </row>
    <row r="21" spans="1:7" x14ac:dyDescent="0.25">
      <c r="A21" s="86" t="s">
        <v>39</v>
      </c>
      <c r="B21" s="76">
        <v>1</v>
      </c>
      <c r="C21" s="76">
        <v>0</v>
      </c>
      <c r="D21" s="76">
        <v>1</v>
      </c>
      <c r="E21" s="76">
        <v>1</v>
      </c>
    </row>
    <row r="22" spans="1:7" x14ac:dyDescent="0.25">
      <c r="A22" s="86" t="s">
        <v>40</v>
      </c>
      <c r="B22" s="88">
        <f>B12-$G$12*B21</f>
        <v>-375</v>
      </c>
      <c r="C22" s="88">
        <f>C12-$G$12*C21</f>
        <v>0</v>
      </c>
      <c r="D22" s="88">
        <f>D12-$G$12*D21</f>
        <v>-350</v>
      </c>
      <c r="E22" s="88">
        <f>E12-$G$12*E21</f>
        <v>-325</v>
      </c>
      <c r="F22" s="86" t="s">
        <v>84</v>
      </c>
    </row>
    <row r="23" spans="1:7" x14ac:dyDescent="0.25">
      <c r="A23" s="86" t="s">
        <v>85</v>
      </c>
      <c r="B23" s="88">
        <f>B12-$B$20*B21</f>
        <v>0</v>
      </c>
      <c r="C23" s="88">
        <f>C12-$B$20*C21</f>
        <v>0</v>
      </c>
      <c r="D23" s="88">
        <f>D12-$B$20*D21</f>
        <v>25</v>
      </c>
      <c r="E23" s="88">
        <f>E12-$B$20*E21</f>
        <v>50</v>
      </c>
      <c r="F23" s="86" t="s">
        <v>86</v>
      </c>
    </row>
    <row r="25" spans="1:7" x14ac:dyDescent="0.25">
      <c r="A25" s="86" t="s">
        <v>87</v>
      </c>
      <c r="B25" s="87">
        <v>200</v>
      </c>
    </row>
    <row r="26" spans="1:7" x14ac:dyDescent="0.25">
      <c r="A26" s="86" t="s">
        <v>39</v>
      </c>
      <c r="B26" s="76">
        <v>1</v>
      </c>
      <c r="C26" s="76">
        <v>0</v>
      </c>
      <c r="D26" s="76">
        <v>0</v>
      </c>
      <c r="E26" s="76">
        <v>0</v>
      </c>
    </row>
    <row r="27" spans="1:7" x14ac:dyDescent="0.25">
      <c r="A27" s="86" t="s">
        <v>88</v>
      </c>
      <c r="B27" s="88">
        <f>B13-$B$25-($G$13-$B$25)*B26</f>
        <v>-150</v>
      </c>
      <c r="C27" s="88">
        <f>C13-$B$25-($G$13-$B$25)*C26</f>
        <v>-200</v>
      </c>
      <c r="D27" s="88">
        <f>D13-$B$25-($G$13-$B$25)*D26</f>
        <v>-200</v>
      </c>
      <c r="E27" s="88">
        <f>E13-$B$25-($G$13-$B$25)*E26</f>
        <v>-50</v>
      </c>
      <c r="F27" s="86" t="s">
        <v>84</v>
      </c>
    </row>
    <row r="28" spans="1:7" x14ac:dyDescent="0.25">
      <c r="A28" s="86" t="s">
        <v>89</v>
      </c>
      <c r="E28" s="77">
        <f>SUM(B26:E26)</f>
        <v>1</v>
      </c>
      <c r="F28" s="86" t="s">
        <v>90</v>
      </c>
    </row>
    <row r="30" spans="1:7" x14ac:dyDescent="0.25">
      <c r="A30" s="86" t="s">
        <v>91</v>
      </c>
      <c r="B30" s="87">
        <v>200</v>
      </c>
      <c r="C30" s="87">
        <v>400</v>
      </c>
      <c r="D30" s="87">
        <v>550</v>
      </c>
    </row>
    <row r="31" spans="1:7" x14ac:dyDescent="0.25">
      <c r="A31" s="86" t="s">
        <v>39</v>
      </c>
      <c r="B31" s="76">
        <v>-2.6020852139652106E-18</v>
      </c>
      <c r="C31" s="76">
        <v>1</v>
      </c>
      <c r="D31" s="76">
        <v>0</v>
      </c>
    </row>
    <row r="32" spans="1:7" x14ac:dyDescent="0.25">
      <c r="A32" s="86" t="s">
        <v>92</v>
      </c>
      <c r="D32" s="89">
        <f>SUM(B14:E14)-SUMPRODUCT(B30:D30,B31:D31)</f>
        <v>0</v>
      </c>
      <c r="E32" s="86" t="s">
        <v>93</v>
      </c>
    </row>
    <row r="33" spans="1:5" x14ac:dyDescent="0.25">
      <c r="A33" s="86" t="s">
        <v>89</v>
      </c>
      <c r="D33" s="77">
        <f>SUM(B31:D31)</f>
        <v>1</v>
      </c>
      <c r="E33" s="86" t="s">
        <v>94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Blue Ridge</vt:lpstr>
      <vt:lpstr>Blue Ridge - ILP</vt:lpstr>
      <vt:lpstr>Air Express</vt:lpstr>
      <vt:lpstr>CRT</vt:lpstr>
      <vt:lpstr>Remington</vt:lpstr>
      <vt:lpstr>Remington - min order</vt:lpstr>
      <vt:lpstr>Remington - with If</vt:lpstr>
      <vt:lpstr>B&amp;G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Lecture 4</dc:title>
  <dc:subject>BIM</dc:subject>
  <dc:creator>Mary Lim</dc:creator>
  <cp:lastModifiedBy>Poh Lim</cp:lastModifiedBy>
  <cp:lastPrinted>1996-09-19T18:10:37Z</cp:lastPrinted>
  <dcterms:created xsi:type="dcterms:W3CDTF">1999-08-27T19:50:30Z</dcterms:created>
  <dcterms:modified xsi:type="dcterms:W3CDTF">2018-08-08T06:47:54Z</dcterms:modified>
</cp:coreProperties>
</file>