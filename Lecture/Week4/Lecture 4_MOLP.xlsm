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4\"/>
    </mc:Choice>
  </mc:AlternateContent>
  <bookViews>
    <workbookView xWindow="-12" yWindow="-12" windowWidth="9636" windowHeight="5196" firstSheet="1" activeTab="2"/>
  </bookViews>
  <sheets>
    <sheet name="Module1" sheetId="1" state="veryHidden" r:id=""/>
    <sheet name="Production Report" sheetId="2" r:id="rId1"/>
    <sheet name="Production Report- Improved" sheetId="3" r:id="rId2"/>
  </sheets>
  <externalReferences>
    <externalReference r:id="rId3"/>
  </externalReferences>
  <definedNames>
    <definedName name="_Regression_Int" localSheetId="1" hidden="1">1</definedName>
    <definedName name="solver_adj" localSheetId="1" hidden="1">'Production Report'!$B$5:$C$5</definedName>
    <definedName name="solver_adj" localSheetId="2" hidden="1">'Production Report- Improved'!$B$5:$C$5,'Production Report- Improved'!$B$18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tr" localSheetId="1" hidden="1">1000</definedName>
    <definedName name="solver_itr" localSheetId="2" hidden="1">100</definedName>
    <definedName name="solver_lhs1" localSheetId="1" hidden="1">'Production Report'!$B$5:$C$5</definedName>
    <definedName name="solver_lhs1" localSheetId="2" hidden="1">'Production Report- Improved'!$H$8:$H$10</definedName>
    <definedName name="solver_lhs2" localSheetId="1" hidden="1">'Production Report'!$D$13:$D$15</definedName>
    <definedName name="solver_lhs2" localSheetId="2" hidden="1">'Production Report- Improved'!$B$5:$C$5</definedName>
    <definedName name="solver_lhs3" localSheetId="2" hidden="1">'Production Report- Improved'!$D$13:$D$15</definedName>
    <definedName name="solver_lin" localSheetId="1" hidden="1">1</definedName>
    <definedName name="solver_lin" localSheetId="2" hidden="1">1</definedName>
    <definedName name="solver_lva" localSheetId="1" hidden="1">2</definedName>
    <definedName name="solver_mip" localSheetId="1" hidden="1">1000</definedName>
    <definedName name="solver_mni" localSheetId="1" hidden="1">30</definedName>
    <definedName name="solver_mrt" localSheetId="1" hidden="1">0.075</definedName>
    <definedName name="solver_neg" localSheetId="1" hidden="1">2</definedName>
    <definedName name="solver_neg" localSheetId="2" hidden="1">2</definedName>
    <definedName name="solver_nod" localSheetId="1" hidden="1">1000</definedName>
    <definedName name="solver_num" localSheetId="1" hidden="1">2</definedName>
    <definedName name="solver_num" localSheetId="2" hidden="1">3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opt" localSheetId="1" hidden="1">'Production Report'!$D$10</definedName>
    <definedName name="solver_opt" localSheetId="2" hidden="1">'Production Report- Improved'!$B$18</definedName>
    <definedName name="solver_piv" localSheetId="1" hidden="1">0.000001</definedName>
    <definedName name="solver_pre" localSheetId="1" hidden="1">0.00000001</definedName>
    <definedName name="solver_pre" localSheetId="2" hidden="1">0.000001</definedName>
    <definedName name="solver_pro" localSheetId="1" hidden="1">2</definedName>
    <definedName name="solver_rbv" localSheetId="1" hidden="1">1</definedName>
    <definedName name="solver_red" localSheetId="1" hidden="1">0.000001</definedName>
    <definedName name="solver_rel1" localSheetId="1" hidden="1">3</definedName>
    <definedName name="solver_rel1" localSheetId="2" hidden="1">1</definedName>
    <definedName name="solver_rel2" localSheetId="1" hidden="1">3</definedName>
    <definedName name="solver_rel2" localSheetId="2" hidden="1">3</definedName>
    <definedName name="solver_rel3" localSheetId="2" hidden="1">3</definedName>
    <definedName name="solver_reo" localSheetId="1" hidden="1">2</definedName>
    <definedName name="solver_rep" localSheetId="1" hidden="1">2</definedName>
    <definedName name="solver_rhs1" localSheetId="1" hidden="1">0</definedName>
    <definedName name="solver_rhs1" localSheetId="2" hidden="1">'Production Report- Improved'!$B$18</definedName>
    <definedName name="solver_rhs2" localSheetId="1" hidden="1">'Production Report'!$E$13:$E$15</definedName>
    <definedName name="solver_rhs2" localSheetId="2" hidden="1">0</definedName>
    <definedName name="solver_rhs3" localSheetId="2" hidden="1">'Production Report- Improved'!$E$13:$E$15</definedName>
    <definedName name="solver_rlx" localSheetId="1" hidden="1">2</definedName>
    <definedName name="solver_scl" localSheetId="1" hidden="1">2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td" localSheetId="1" hidden="1">0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2</definedName>
  </definedNames>
  <calcPr calcId="162913"/>
</workbook>
</file>

<file path=xl/calcChain.xml><?xml version="1.0" encoding="utf-8"?>
<calcChain xmlns="http://schemas.openxmlformats.org/spreadsheetml/2006/main">
  <c r="D15" i="3" l="1"/>
  <c r="D14" i="3"/>
  <c r="D13" i="3"/>
  <c r="D10" i="3"/>
  <c r="F10" i="3" s="1"/>
  <c r="H10" i="3" s="1"/>
  <c r="D9" i="3"/>
  <c r="F9" i="3"/>
  <c r="H9" i="3" s="1"/>
  <c r="D8" i="3"/>
  <c r="F8" i="3"/>
  <c r="H8" i="3" s="1"/>
  <c r="D9" i="2"/>
  <c r="D10" i="2"/>
  <c r="D8" i="2"/>
  <c r="D14" i="2"/>
  <c r="D15" i="2"/>
  <c r="D13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<sst xmlns="http://schemas.openxmlformats.org/spreadsheetml/2006/main" count="39" uniqueCount="25">
  <si>
    <t/>
  </si>
  <si>
    <t>Wythe</t>
  </si>
  <si>
    <t>Giles</t>
  </si>
  <si>
    <t>Totals</t>
  </si>
  <si>
    <t xml:space="preserve">  Cost per month</t>
  </si>
  <si>
    <t xml:space="preserve">  Toxins per month</t>
  </si>
  <si>
    <t xml:space="preserve">  Accidents per month</t>
  </si>
  <si>
    <t>Available</t>
  </si>
  <si>
    <t>Required</t>
  </si>
  <si>
    <t xml:space="preserve">  HG coal produced</t>
  </si>
  <si>
    <t xml:space="preserve">  MG coal produced</t>
  </si>
  <si>
    <t xml:space="preserve">  LG coal produced</t>
  </si>
  <si>
    <t>Months to operate</t>
  </si>
  <si>
    <t>Objectives</t>
  </si>
  <si>
    <t>Constraints</t>
  </si>
  <si>
    <t>Target</t>
  </si>
  <si>
    <t>Weighted %</t>
  </si>
  <si>
    <t>Goals</t>
  </si>
  <si>
    <t>Total</t>
  </si>
  <si>
    <t>Value</t>
  </si>
  <si>
    <t>% Deviation</t>
  </si>
  <si>
    <t>Weight</t>
  </si>
  <si>
    <t xml:space="preserve"> Deviation</t>
  </si>
  <si>
    <t>Objective</t>
  </si>
  <si>
    <t xml:space="preserve">  MiniMax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</si>
</sst>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$&quot;#,##0_);\(&quot;$&quot;#,##0\)"/>
    <numFmt numFmtId="172" formatCode="General_)"/>
    <numFmt numFmtId="173" formatCode="0_)"/>
    <numFmt numFmtId="174" formatCode="#,##0.0_);\(#,##0.0\)"/>
    <numFmt numFmtId="176" formatCode="#,##0.0000_);\(#,##0.0000\)"/>
    <numFmt numFmtId="179" formatCode="0.00_)"/>
    <numFmt numFmtId="180" formatCode="&quot;$&quot;#,##0.0_);\(&quot;$&quot;#,##0.0\)"/>
    <numFmt numFmtId="181" formatCode="0.0"/>
  </numFmts>
  <fonts count="17" x14ac:knownFonts="1">
    <font>
      <sz val="10"/>
      <name val="Arial"/>
      <family val="2"/>
    </font>
    <font>
      <b/>
      <sz val="10"/>
      <name val="Arial"/>
    </font>
    <font>
      <sz val="10"/>
      <name val="Arial"/>
      <family val="2"/>
    </font>
    <font>
      <sz val="10"/>
      <color indexed="12"/>
      <name val="Courier"/>
    </font>
    <font>
      <sz val="10"/>
      <name val="Arial"/>
      <family val="2"/>
    </font>
    <font>
      <b/>
      <sz val="10"/>
      <name val="Arial"/>
      <family val="2"/>
    </font>
    <font>
      <b/>
      <i/>
      <sz val="12"/>
      <name val="Arial"/>
      <family val="2"/>
    </font>
    <font>
      <b/>
      <sz val="10"/>
      <color indexed="17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172" fontId="0" fillId="0" borderId="0"/>
    <xf numFmtId="9" fontId="2" fillId="0" borderId="0" applyFont="0" applyFill="0" applyBorder="0" applyAlignment="0" applyProtection="0"/>
  </cellStyleXfs>
  <cellXfs count="46">
    <xf numFmtId="172" fontId="0" fillId="0" borderId="0" xfId="0"/>
    <xf numFmtId="172" fontId="3" fillId="0" borderId="0" xfId="0" applyNumberFormat="1" applyFont="1" applyProtection="1">
      <protection locked="0"/>
    </xf>
    <xf numFmtId="172" fontId="0" fillId="0" borderId="0" xfId="0" applyNumberFormat="1" applyProtection="1"/>
    <xf numFmtId="172" fontId="0" fillId="0" borderId="0" xfId="0" applyNumberFormat="1" applyAlignment="1" applyProtection="1">
      <alignment horizontal="left"/>
    </xf>
    <xf numFmtId="172" fontId="4" fillId="0" borderId="0" xfId="0" applyFont="1"/>
    <xf numFmtId="172" fontId="5" fillId="0" borderId="0" xfId="0" applyFont="1" applyAlignment="1" applyProtection="1">
      <alignment horizontal="center"/>
    </xf>
    <xf numFmtId="172" fontId="5" fillId="0" borderId="0" xfId="0" applyFont="1" applyAlignment="1" applyProtection="1">
      <alignment horizontal="left"/>
    </xf>
    <xf numFmtId="164" fontId="4" fillId="0" borderId="0" xfId="0" applyNumberFormat="1" applyFont="1" applyProtection="1"/>
    <xf numFmtId="172" fontId="4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/>
    </xf>
    <xf numFmtId="172" fontId="1" fillId="0" borderId="0" xfId="0" applyFont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72" fontId="6" fillId="0" borderId="0" xfId="0" applyFont="1" applyFill="1" applyBorder="1" applyAlignment="1">
      <alignment horizontal="centerContinuous"/>
    </xf>
    <xf numFmtId="172" fontId="0" fillId="0" borderId="0" xfId="0" applyFill="1" applyBorder="1"/>
    <xf numFmtId="173" fontId="7" fillId="0" borderId="0" xfId="0" applyNumberFormat="1" applyFont="1" applyFill="1" applyBorder="1" applyAlignment="1" applyProtection="1">
      <alignment horizontal="center"/>
    </xf>
    <xf numFmtId="39" fontId="1" fillId="0" borderId="0" xfId="0" applyNumberFormat="1" applyFont="1" applyAlignment="1" applyProtection="1">
      <alignment horizontal="center"/>
    </xf>
    <xf numFmtId="179" fontId="9" fillId="2" borderId="1" xfId="0" applyNumberFormat="1" applyFont="1" applyFill="1" applyBorder="1" applyAlignment="1" applyProtection="1">
      <alignment horizontal="center"/>
    </xf>
    <xf numFmtId="180" fontId="10" fillId="2" borderId="2" xfId="0" applyNumberFormat="1" applyFont="1" applyFill="1" applyBorder="1" applyAlignment="1" applyProtection="1">
      <alignment horizontal="center"/>
    </xf>
    <xf numFmtId="174" fontId="10" fillId="2" borderId="2" xfId="0" applyNumberFormat="1" applyFont="1" applyFill="1" applyBorder="1" applyAlignment="1" applyProtection="1">
      <alignment horizontal="center"/>
    </xf>
    <xf numFmtId="39" fontId="10" fillId="2" borderId="2" xfId="0" applyNumberFormat="1" applyFont="1" applyFill="1" applyBorder="1" applyAlignment="1" applyProtection="1">
      <alignment horizontal="center"/>
    </xf>
    <xf numFmtId="37" fontId="11" fillId="2" borderId="3" xfId="0" applyNumberFormat="1" applyFont="1" applyFill="1" applyBorder="1" applyAlignment="1" applyProtection="1">
      <alignment horizontal="center"/>
    </xf>
    <xf numFmtId="172" fontId="4" fillId="0" borderId="0" xfId="0" applyFont="1" applyFill="1" applyBorder="1" applyAlignment="1">
      <alignment horizontal="centerContinuous" vertical="center"/>
    </xf>
    <xf numFmtId="172" fontId="5" fillId="0" borderId="0" xfId="0" applyFont="1" applyFill="1" applyBorder="1" applyAlignment="1">
      <alignment horizontal="centerContinuous" vertical="center"/>
    </xf>
    <xf numFmtId="172" fontId="13" fillId="0" borderId="0" xfId="0" applyNumberFormat="1" applyFont="1" applyProtection="1">
      <protection locked="0"/>
    </xf>
    <xf numFmtId="172" fontId="4" fillId="0" borderId="0" xfId="0" applyNumberFormat="1" applyFont="1" applyProtection="1"/>
    <xf numFmtId="172" fontId="4" fillId="0" borderId="0" xfId="0" applyNumberFormat="1" applyFont="1" applyAlignment="1" applyProtection="1">
      <alignment horizontal="left"/>
    </xf>
    <xf numFmtId="173" fontId="9" fillId="0" borderId="0" xfId="0" applyNumberFormat="1" applyFont="1" applyFill="1" applyBorder="1" applyAlignment="1" applyProtection="1">
      <alignment horizontal="center"/>
    </xf>
    <xf numFmtId="172" fontId="5" fillId="0" borderId="0" xfId="0" applyFont="1" applyAlignment="1">
      <alignment horizontal="center"/>
    </xf>
    <xf numFmtId="172" fontId="14" fillId="0" borderId="0" xfId="0" applyNumberFormat="1" applyFont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/>
    </xf>
    <xf numFmtId="180" fontId="15" fillId="0" borderId="0" xfId="0" applyNumberFormat="1" applyFont="1" applyFill="1" applyBorder="1" applyAlignment="1" applyProtection="1">
      <alignment horizontal="center"/>
    </xf>
    <xf numFmtId="180" fontId="14" fillId="0" borderId="0" xfId="0" applyNumberFormat="1" applyFont="1" applyFill="1" applyBorder="1" applyAlignment="1" applyProtection="1">
      <alignment horizontal="center"/>
    </xf>
    <xf numFmtId="10" fontId="16" fillId="0" borderId="0" xfId="1" applyNumberFormat="1" applyFont="1" applyFill="1" applyBorder="1" applyAlignment="1" applyProtection="1">
      <alignment horizontal="center"/>
    </xf>
    <xf numFmtId="172" fontId="1" fillId="0" borderId="0" xfId="0" applyNumberFormat="1" applyFont="1" applyAlignment="1" applyProtection="1">
      <alignment horizontal="center"/>
    </xf>
    <xf numFmtId="10" fontId="11" fillId="2" borderId="3" xfId="1" applyNumberFormat="1" applyFont="1" applyFill="1" applyBorder="1" applyAlignment="1" applyProtection="1">
      <alignment horizontal="center"/>
    </xf>
    <xf numFmtId="37" fontId="5" fillId="0" borderId="0" xfId="0" applyNumberFormat="1" applyFont="1" applyAlignment="1" applyProtection="1">
      <alignment horizontal="center"/>
    </xf>
    <xf numFmtId="174" fontId="15" fillId="0" borderId="0" xfId="0" applyNumberFormat="1" applyFont="1" applyFill="1" applyBorder="1" applyAlignment="1" applyProtection="1">
      <alignment horizontal="center"/>
    </xf>
    <xf numFmtId="181" fontId="14" fillId="0" borderId="0" xfId="0" applyNumberFormat="1" applyFont="1" applyFill="1" applyBorder="1" applyAlignment="1">
      <alignment horizontal="center"/>
    </xf>
    <xf numFmtId="39" fontId="5" fillId="0" borderId="0" xfId="0" applyNumberFormat="1" applyFont="1" applyAlignment="1" applyProtection="1">
      <alignment horizontal="center"/>
    </xf>
    <xf numFmtId="176" fontId="15" fillId="0" borderId="0" xfId="0" applyNumberFormat="1" applyFont="1" applyFill="1" applyBorder="1" applyAlignment="1" applyProtection="1">
      <alignment horizontal="center"/>
    </xf>
    <xf numFmtId="39" fontId="14" fillId="0" borderId="0" xfId="0" applyNumberFormat="1" applyFont="1" applyFill="1" applyBorder="1" applyAlignment="1" applyProtection="1">
      <alignment horizontal="center"/>
    </xf>
    <xf numFmtId="39" fontId="11" fillId="2" borderId="3" xfId="0" applyNumberFormat="1" applyFont="1" applyFill="1" applyBorder="1" applyAlignment="1" applyProtection="1">
      <alignment horizontal="center"/>
    </xf>
    <xf numFmtId="172" fontId="1" fillId="0" borderId="0" xfId="0" applyFont="1" applyAlignment="1">
      <alignment horizontal="left"/>
    </xf>
    <xf numFmtId="172" fontId="4" fillId="0" borderId="0" xfId="0" applyFont="1" applyFill="1" applyBorder="1"/>
    <xf numFmtId="172" fontId="1" fillId="0" borderId="0" xfId="0" applyFont="1"/>
    <xf numFmtId="172" fontId="9" fillId="2" borderId="2" xfId="0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967740</xdr:colOff>
      <xdr:row>0</xdr:row>
      <xdr:rowOff>99060</xdr:rowOff>
    </xdr:from>
    <xdr:to>
      <xdr:col>3</xdr:col>
      <xdr:colOff>640080</xdr:colOff>
      <xdr:row>2</xdr:row>
      <xdr:rowOff>76200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967740" y="99060"/>
          <a:ext cx="2415540" cy="342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Blackstone Mining Co.</a:t>
          </a:r>
        </a:p>
      </xdr:txBody>
    </xdr:sp>
    <xdr:clientData/>
  </xdr:twoCellAnchor>
  <xdr:twoCellAnchor>
    <xdr:from>
      <xdr:col>4</xdr:col>
      <xdr:colOff>22860</xdr:colOff>
      <xdr:row>1</xdr:row>
      <xdr:rowOff>7620</xdr:rowOff>
    </xdr:from>
    <xdr:to>
      <xdr:col>7</xdr:col>
      <xdr:colOff>220980</xdr:colOff>
      <xdr:row>6</xdr:row>
      <xdr:rowOff>167640</xdr:rowOff>
    </xdr:to>
    <xdr:sp macro="" textlink="">
      <xdr:nvSpPr>
        <xdr:cNvPr id="1027" name="Note" hidden="1"/>
        <xdr:cNvSpPr txBox="1">
          <a:spLocks noChangeArrowheads="1"/>
        </xdr:cNvSpPr>
      </xdr:nvSpPr>
      <xdr:spPr bwMode="auto">
        <a:xfrm>
          <a:off x="3482340" y="175260"/>
          <a:ext cx="224028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D8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D9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D10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B5:C5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D13:D15&gt;=E13:E15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B5:C5&gt;=0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411480</xdr:colOff>
      <xdr:row>0</xdr:row>
      <xdr:rowOff>106680</xdr:rowOff>
    </xdr:from>
    <xdr:to>
      <xdr:col>5</xdr:col>
      <xdr:colOff>167640</xdr:colOff>
      <xdr:row>2</xdr:row>
      <xdr:rowOff>91440</xdr:rowOff>
    </xdr:to>
    <xdr:sp macro="[1]!Toggle" textlink="">
      <xdr:nvSpPr>
        <xdr:cNvPr id="2049" name="Text 2"/>
        <xdr:cNvSpPr>
          <a:spLocks noChangeArrowheads="1"/>
        </xdr:cNvSpPr>
      </xdr:nvSpPr>
      <xdr:spPr bwMode="auto">
        <a:xfrm>
          <a:off x="1844040" y="106680"/>
          <a:ext cx="2385060" cy="35052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Blackstone Mining Co.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nash/2009S1/FIT5097/Data%20Files/C07/Fig7-1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Production Report"/>
    </sheetNames>
    <definedNames>
      <definedName name="Toggle"/>
    </defined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/>
  <dimension ref="A2:N21"/>
  <sheetViews>
    <sheetView zoomScale="120" workbookViewId="0">
      <selection activeCell="H17" sqref="H17"/>
    </sheetView>
  </sheetViews>
  <sheetFormatPr defaultColWidth="9.6640625" defaultRowHeight="13.2" x14ac:dyDescent="0.25"/>
  <cols>
    <col min="1" max="1" width="20.88671875" bestFit="1" customWidth="1"/>
    <col min="2" max="3" width="9.5546875" customWidth="1"/>
    <col min="4" max="5" width="10.44140625" customWidth="1"/>
  </cols>
  <sheetData>
    <row r="2" spans="1:14" ht="15.6" x14ac:dyDescent="0.3">
      <c r="A2" s="4"/>
      <c r="B2" s="21"/>
      <c r="C2" s="12"/>
      <c r="D2" s="4"/>
      <c r="E2" s="4"/>
      <c r="F2" s="1"/>
      <c r="G2" s="1"/>
      <c r="H2" s="1"/>
    </row>
    <row r="3" spans="1:14" x14ac:dyDescent="0.25">
      <c r="A3" s="4"/>
      <c r="B3" s="4"/>
      <c r="C3" s="4"/>
      <c r="D3" s="4"/>
      <c r="E3" s="4"/>
      <c r="F3" s="2"/>
      <c r="G3" s="3" t="s">
        <v>0</v>
      </c>
      <c r="H3" s="2"/>
      <c r="I3" s="2"/>
    </row>
    <row r="4" spans="1:14" x14ac:dyDescent="0.25">
      <c r="A4" s="4"/>
      <c r="B4" s="5" t="s">
        <v>1</v>
      </c>
      <c r="C4" s="5" t="s">
        <v>2</v>
      </c>
      <c r="D4" s="4"/>
      <c r="E4" s="4"/>
      <c r="F4" s="2"/>
      <c r="G4" s="3" t="s">
        <v>0</v>
      </c>
      <c r="H4" s="2"/>
      <c r="I4" s="1"/>
      <c r="J4" s="1"/>
      <c r="K4" s="1"/>
      <c r="L4" s="1"/>
      <c r="M4" s="1"/>
      <c r="N4" s="1"/>
    </row>
    <row r="5" spans="1:14" x14ac:dyDescent="0.25">
      <c r="A5" s="6" t="s">
        <v>12</v>
      </c>
      <c r="B5" s="16">
        <v>10.00000000000253</v>
      </c>
      <c r="C5" s="16">
        <v>0</v>
      </c>
      <c r="E5" s="4"/>
      <c r="F5" s="1"/>
      <c r="G5" s="1"/>
      <c r="H5" s="1"/>
      <c r="I5" s="2"/>
    </row>
    <row r="6" spans="1:14" x14ac:dyDescent="0.25">
      <c r="A6" s="6"/>
      <c r="B6" s="14"/>
      <c r="C6" s="14"/>
      <c r="D6" s="5"/>
      <c r="E6" s="4"/>
      <c r="F6" s="1"/>
      <c r="G6" s="1"/>
      <c r="H6" s="1"/>
      <c r="I6" s="2"/>
    </row>
    <row r="7" spans="1:14" ht="13.8" thickBot="1" x14ac:dyDescent="0.3">
      <c r="A7" s="6" t="s">
        <v>13</v>
      </c>
      <c r="B7" s="14"/>
      <c r="C7" s="14"/>
      <c r="D7" s="5" t="s">
        <v>3</v>
      </c>
      <c r="E7" s="4"/>
      <c r="F7" s="1"/>
      <c r="G7" s="1"/>
      <c r="H7" s="1"/>
      <c r="I7" s="2"/>
    </row>
    <row r="8" spans="1:14" ht="14.4" thickTop="1" thickBot="1" x14ac:dyDescent="0.3">
      <c r="A8" s="6" t="s">
        <v>4</v>
      </c>
      <c r="B8" s="9">
        <v>40</v>
      </c>
      <c r="C8" s="9">
        <v>32</v>
      </c>
      <c r="D8" s="17">
        <f>SUMPRODUCT(B8:C8,$B$5:$C$5)</f>
        <v>400.00000000010118</v>
      </c>
      <c r="E8" s="4">
        <v>244</v>
      </c>
      <c r="F8" s="2"/>
      <c r="G8" s="2"/>
      <c r="H8" s="2"/>
      <c r="I8" s="1"/>
    </row>
    <row r="9" spans="1:14" ht="14.4" thickTop="1" thickBot="1" x14ac:dyDescent="0.3">
      <c r="A9" s="6" t="s">
        <v>5</v>
      </c>
      <c r="B9" s="11">
        <v>800</v>
      </c>
      <c r="C9" s="11">
        <v>1250</v>
      </c>
      <c r="D9" s="18">
        <f>SUMPRODUCT(B9:C9,$B$5:$C$5)</f>
        <v>8000.0000000020236</v>
      </c>
      <c r="E9" s="4">
        <v>6950</v>
      </c>
      <c r="F9" s="2"/>
      <c r="G9" s="2"/>
      <c r="H9" s="2"/>
      <c r="I9" s="1"/>
    </row>
    <row r="10" spans="1:14" ht="14.4" thickTop="1" thickBot="1" x14ac:dyDescent="0.3">
      <c r="A10" s="6" t="s">
        <v>6</v>
      </c>
      <c r="B10" s="15">
        <v>0.2</v>
      </c>
      <c r="C10" s="15">
        <v>0.45</v>
      </c>
      <c r="D10" s="19">
        <f>SUMPRODUCT(B10:C10,$B$5:$C$5)</f>
        <v>2.0000000000005058</v>
      </c>
      <c r="E10" s="4">
        <v>2</v>
      </c>
      <c r="F10" s="2"/>
      <c r="G10" s="2"/>
      <c r="H10" s="2"/>
      <c r="I10" s="1"/>
    </row>
    <row r="11" spans="1:14" ht="13.8" thickTop="1" x14ac:dyDescent="0.25">
      <c r="A11" s="4"/>
      <c r="B11" s="8"/>
      <c r="C11" s="8"/>
      <c r="D11" s="4"/>
      <c r="E11" s="7"/>
      <c r="G11" s="2"/>
      <c r="H11" s="2"/>
      <c r="I11" s="1"/>
    </row>
    <row r="12" spans="1:14" x14ac:dyDescent="0.25">
      <c r="A12" s="6" t="s">
        <v>14</v>
      </c>
      <c r="B12" s="8"/>
      <c r="C12" s="8"/>
      <c r="D12" s="5" t="s">
        <v>7</v>
      </c>
      <c r="E12" s="5" t="s">
        <v>8</v>
      </c>
      <c r="F12" s="2"/>
      <c r="G12" s="2"/>
      <c r="H12" s="2"/>
    </row>
    <row r="13" spans="1:14" x14ac:dyDescent="0.25">
      <c r="A13" s="6" t="s">
        <v>9</v>
      </c>
      <c r="B13" s="10">
        <v>12</v>
      </c>
      <c r="C13" s="10">
        <v>4</v>
      </c>
      <c r="D13" s="20">
        <f>SUMPRODUCT(B13:C13,$B$5:$C$5)</f>
        <v>120.00000000003035</v>
      </c>
      <c r="E13" s="11">
        <v>48</v>
      </c>
      <c r="F13" s="1"/>
      <c r="G13" s="1"/>
      <c r="H13" s="1"/>
    </row>
    <row r="14" spans="1:14" x14ac:dyDescent="0.25">
      <c r="A14" s="6" t="s">
        <v>10</v>
      </c>
      <c r="B14" s="10">
        <v>4</v>
      </c>
      <c r="C14" s="10">
        <v>4</v>
      </c>
      <c r="D14" s="20">
        <f>SUMPRODUCT(B14:C14,$B$5:$C$5)</f>
        <v>40.000000000010118</v>
      </c>
      <c r="E14" s="10">
        <v>28</v>
      </c>
    </row>
    <row r="15" spans="1:14" x14ac:dyDescent="0.25">
      <c r="A15" s="6" t="s">
        <v>11</v>
      </c>
      <c r="B15" s="10">
        <v>10</v>
      </c>
      <c r="C15" s="10">
        <v>20</v>
      </c>
      <c r="D15" s="20">
        <f>SUMPRODUCT(B15:C15,$B$5:$C$5)</f>
        <v>100.0000000000253</v>
      </c>
      <c r="E15" s="10">
        <v>100</v>
      </c>
    </row>
    <row r="16" spans="1:14" x14ac:dyDescent="0.25">
      <c r="A16" s="4"/>
      <c r="B16" s="4"/>
      <c r="C16" s="4"/>
      <c r="D16" s="4"/>
      <c r="E16" s="4"/>
    </row>
    <row r="17" spans="2:6" x14ac:dyDescent="0.25">
      <c r="B17" s="1"/>
      <c r="C17" s="1"/>
      <c r="D17" s="1"/>
      <c r="F17" s="13"/>
    </row>
    <row r="18" spans="2:6" x14ac:dyDescent="0.25">
      <c r="B18" s="2"/>
      <c r="C18" s="2"/>
      <c r="D18" s="2"/>
      <c r="F18" s="13"/>
    </row>
    <row r="19" spans="2:6" x14ac:dyDescent="0.25">
      <c r="B19" s="2"/>
      <c r="C19" s="2"/>
      <c r="D19" s="2"/>
      <c r="F19" s="13"/>
    </row>
    <row r="20" spans="2:6" x14ac:dyDescent="0.25">
      <c r="B20" s="2"/>
      <c r="C20" s="2"/>
      <c r="D20" s="2"/>
      <c r="F20" s="13"/>
    </row>
    <row r="21" spans="2:6" x14ac:dyDescent="0.25">
      <c r="B21" s="1"/>
      <c r="C21" s="1"/>
      <c r="D21" s="1"/>
    </row>
  </sheetData>
  <phoneticPr fontId="12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O21"/>
  <sheetViews>
    <sheetView tabSelected="1" workbookViewId="0">
      <selection activeCell="F11" sqref="F11"/>
    </sheetView>
  </sheetViews>
  <sheetFormatPr defaultColWidth="9.6640625" defaultRowHeight="13.2" x14ac:dyDescent="0.25"/>
  <cols>
    <col min="1" max="1" width="20.88671875" style="4" bestFit="1" customWidth="1"/>
    <col min="2" max="3" width="9.6640625" style="4" customWidth="1"/>
    <col min="4" max="4" width="9.5546875" style="4" bestFit="1" customWidth="1"/>
    <col min="5" max="5" width="9.44140625" style="4" bestFit="1" customWidth="1"/>
    <col min="6" max="6" width="11.5546875" style="4" bestFit="1" customWidth="1"/>
    <col min="7" max="7" width="7.44140625" style="4" bestFit="1" customWidth="1"/>
    <col min="8" max="8" width="11.88671875" style="4" bestFit="1" customWidth="1"/>
    <col min="9" max="16384" width="9.6640625" style="4"/>
  </cols>
  <sheetData>
    <row r="2" spans="1:15" ht="15.6" x14ac:dyDescent="0.3">
      <c r="B2" s="22"/>
      <c r="C2" s="12"/>
      <c r="G2" s="23"/>
      <c r="H2" s="23"/>
      <c r="I2" s="23"/>
    </row>
    <row r="3" spans="1:15" x14ac:dyDescent="0.25">
      <c r="G3" s="24"/>
      <c r="H3" s="25" t="s">
        <v>0</v>
      </c>
      <c r="I3" s="24"/>
      <c r="J3" s="24"/>
    </row>
    <row r="4" spans="1:15" x14ac:dyDescent="0.25">
      <c r="B4" s="5" t="s">
        <v>1</v>
      </c>
      <c r="C4" s="5" t="s">
        <v>2</v>
      </c>
      <c r="E4"/>
      <c r="F4"/>
      <c r="G4"/>
      <c r="H4"/>
      <c r="I4" s="24"/>
      <c r="J4" s="23"/>
      <c r="K4" s="23"/>
      <c r="L4" s="23"/>
      <c r="M4" s="23"/>
      <c r="N4" s="23"/>
      <c r="O4" s="23"/>
    </row>
    <row r="5" spans="1:15" x14ac:dyDescent="0.25">
      <c r="A5" s="6" t="s">
        <v>12</v>
      </c>
      <c r="B5" s="16">
        <v>4.232902033192123</v>
      </c>
      <c r="C5" s="16">
        <v>2.8835489834039394</v>
      </c>
      <c r="G5"/>
      <c r="H5"/>
      <c r="I5" s="23"/>
      <c r="J5" s="24"/>
    </row>
    <row r="6" spans="1:15" x14ac:dyDescent="0.25">
      <c r="A6" s="6"/>
      <c r="B6" s="26"/>
      <c r="C6" s="26"/>
      <c r="D6" s="5"/>
      <c r="E6" s="27" t="s">
        <v>15</v>
      </c>
      <c r="F6" s="27"/>
      <c r="G6" s="23"/>
      <c r="H6" s="28" t="s">
        <v>16</v>
      </c>
      <c r="I6" s="23"/>
      <c r="J6" s="24"/>
    </row>
    <row r="7" spans="1:15" x14ac:dyDescent="0.25">
      <c r="A7" s="6" t="s">
        <v>17</v>
      </c>
      <c r="B7" s="26"/>
      <c r="C7" s="26"/>
      <c r="D7" s="5" t="s">
        <v>18</v>
      </c>
      <c r="E7" s="27" t="s">
        <v>19</v>
      </c>
      <c r="F7" s="27" t="s">
        <v>20</v>
      </c>
      <c r="G7" s="28" t="s">
        <v>21</v>
      </c>
      <c r="H7" s="28" t="s">
        <v>22</v>
      </c>
      <c r="I7" s="23"/>
      <c r="J7" s="24"/>
    </row>
    <row r="8" spans="1:15" x14ac:dyDescent="0.25">
      <c r="A8" s="6" t="s">
        <v>4</v>
      </c>
      <c r="B8" s="29">
        <v>40</v>
      </c>
      <c r="C8" s="29">
        <v>32</v>
      </c>
      <c r="D8" s="30">
        <f>SUMPRODUCT(B8:C8,$B$5:$C$5)</f>
        <v>261.58964879661096</v>
      </c>
      <c r="E8" s="31">
        <v>244</v>
      </c>
      <c r="F8" s="32">
        <f>(D8-E8)/E8</f>
        <v>7.2088724576274424E-2</v>
      </c>
      <c r="G8" s="33">
        <v>1</v>
      </c>
      <c r="H8" s="34">
        <f>F8*G8</f>
        <v>7.2088724576274424E-2</v>
      </c>
      <c r="I8" s="24"/>
      <c r="J8" s="23"/>
    </row>
    <row r="9" spans="1:15" x14ac:dyDescent="0.25">
      <c r="A9" s="6" t="s">
        <v>5</v>
      </c>
      <c r="B9" s="35">
        <v>800</v>
      </c>
      <c r="C9" s="35">
        <v>1250</v>
      </c>
      <c r="D9" s="36">
        <f>SUMPRODUCT(B9:C9,$B$5:$C$5)</f>
        <v>6990.7578558086225</v>
      </c>
      <c r="E9" s="37">
        <v>6950</v>
      </c>
      <c r="F9" s="32">
        <f>(D9-E9)/E9</f>
        <v>5.8644396846938823E-3</v>
      </c>
      <c r="G9" s="33">
        <v>1</v>
      </c>
      <c r="H9" s="34">
        <f>F9*G9</f>
        <v>5.8644396846938823E-3</v>
      </c>
      <c r="I9" s="24"/>
      <c r="J9" s="23"/>
    </row>
    <row r="10" spans="1:15" x14ac:dyDescent="0.25">
      <c r="A10" s="6" t="s">
        <v>6</v>
      </c>
      <c r="B10" s="38">
        <v>0.2</v>
      </c>
      <c r="C10" s="38">
        <v>0.45</v>
      </c>
      <c r="D10" s="39">
        <f>SUMPRODUCT(B10:C10,$B$5:$C$5)</f>
        <v>2.144177449170197</v>
      </c>
      <c r="E10" s="40">
        <v>2</v>
      </c>
      <c r="F10" s="32">
        <f>(D10-E10)/E10</f>
        <v>7.2088724585098518E-2</v>
      </c>
      <c r="G10" s="33">
        <v>1</v>
      </c>
      <c r="H10" s="34">
        <f>F10*G10</f>
        <v>7.2088724585098518E-2</v>
      </c>
      <c r="I10" s="24"/>
      <c r="J10" s="23"/>
    </row>
    <row r="11" spans="1:15" x14ac:dyDescent="0.25">
      <c r="B11" s="8"/>
      <c r="C11" s="8"/>
      <c r="E11" s="7"/>
      <c r="F11" s="7"/>
      <c r="G11" s="24"/>
      <c r="H11" s="24"/>
      <c r="I11" s="24"/>
      <c r="J11" s="23"/>
    </row>
    <row r="12" spans="1:15" x14ac:dyDescent="0.25">
      <c r="A12" s="6" t="s">
        <v>14</v>
      </c>
      <c r="B12" s="8"/>
      <c r="C12" s="8"/>
      <c r="D12" s="5" t="s">
        <v>7</v>
      </c>
      <c r="E12" s="5" t="s">
        <v>8</v>
      </c>
      <c r="F12" s="5"/>
      <c r="G12" s="24"/>
      <c r="H12" s="24"/>
      <c r="I12" s="24"/>
    </row>
    <row r="13" spans="1:15" x14ac:dyDescent="0.25">
      <c r="A13" s="6" t="s">
        <v>9</v>
      </c>
      <c r="B13" s="5">
        <v>12</v>
      </c>
      <c r="C13" s="5">
        <v>4</v>
      </c>
      <c r="D13" s="41">
        <f>SUMPRODUCT(B13:C13,$B$5:$C$5)</f>
        <v>62.329020331921235</v>
      </c>
      <c r="E13" s="35">
        <v>48</v>
      </c>
      <c r="F13" s="35"/>
      <c r="G13" s="23"/>
      <c r="H13" s="23"/>
      <c r="I13" s="23"/>
    </row>
    <row r="14" spans="1:15" x14ac:dyDescent="0.25">
      <c r="A14" s="6" t="s">
        <v>10</v>
      </c>
      <c r="B14" s="5">
        <v>4</v>
      </c>
      <c r="C14" s="5">
        <v>4</v>
      </c>
      <c r="D14" s="41">
        <f>SUMPRODUCT(B14:C14,$B$5:$C$5)</f>
        <v>28.465804066384251</v>
      </c>
      <c r="E14" s="5">
        <v>28</v>
      </c>
      <c r="F14" s="5"/>
    </row>
    <row r="15" spans="1:15" x14ac:dyDescent="0.25">
      <c r="A15" s="6" t="s">
        <v>11</v>
      </c>
      <c r="B15" s="5">
        <v>10</v>
      </c>
      <c r="C15" s="5">
        <v>20</v>
      </c>
      <c r="D15" s="41">
        <f>SUMPRODUCT(B15:C15,$B$5:$C$5)</f>
        <v>100.00000000000001</v>
      </c>
      <c r="E15" s="5">
        <v>100</v>
      </c>
      <c r="F15" s="5"/>
    </row>
    <row r="17" spans="1:7" ht="13.8" thickBot="1" x14ac:dyDescent="0.3">
      <c r="A17" s="42" t="s">
        <v>23</v>
      </c>
      <c r="B17"/>
      <c r="C17" s="23"/>
      <c r="D17" s="23"/>
      <c r="G17" s="43"/>
    </row>
    <row r="18" spans="1:7" ht="14.4" thickTop="1" thickBot="1" x14ac:dyDescent="0.3">
      <c r="A18" s="44" t="s">
        <v>24</v>
      </c>
      <c r="B18" s="45">
        <v>7.2088724592153319E-2</v>
      </c>
      <c r="C18" s="24"/>
      <c r="D18" s="24"/>
      <c r="G18" s="43"/>
    </row>
    <row r="19" spans="1:7" ht="13.8" thickTop="1" x14ac:dyDescent="0.25">
      <c r="B19" s="24"/>
      <c r="C19" s="24"/>
      <c r="D19" s="24"/>
      <c r="G19" s="43"/>
    </row>
    <row r="20" spans="1:7" x14ac:dyDescent="0.25">
      <c r="B20" s="24"/>
      <c r="C20" s="24"/>
      <c r="D20" s="24"/>
      <c r="G20" s="43"/>
    </row>
    <row r="21" spans="1:7" x14ac:dyDescent="0.25">
      <c r="B21" s="23"/>
      <c r="C21" s="23"/>
      <c r="D21" s="23"/>
      <c r="E21"/>
    </row>
  </sheetData>
  <phoneticPr fontId="12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Production Report</vt:lpstr>
      <vt:lpstr>Production Report- Improved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cp:lastPrinted>1996-09-19T18:10:37Z</cp:lastPrinted>
  <dcterms:created xsi:type="dcterms:W3CDTF">1996-12-19T21:05:48Z</dcterms:created>
  <dcterms:modified xsi:type="dcterms:W3CDTF">2018-08-08T06:40:52Z</dcterms:modified>
</cp:coreProperties>
</file>