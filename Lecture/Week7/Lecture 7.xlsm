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printerSettings/printerSettings3.bin" ContentType="application/vnd.openxmlformats-officedocument.spreadsheetml.printerSettings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Lecture\Week 7\"/>
    </mc:Choice>
  </mc:AlternateContent>
  <bookViews>
    <workbookView xWindow="0" yWindow="108" windowWidth="9228" windowHeight="6852"/>
  </bookViews>
  <sheets>
    <sheet name="EOQ Introduction" sheetId="4" r:id="rId1"/>
    <sheet name="MetroBank" sheetId="7" r:id="rId2"/>
    <sheet name="EOQ Formulas" sheetId="2" r:id="rId3"/>
    <sheet name="EOQ data table" sheetId="6" r:id="rId4"/>
    <sheet name="QTY Discount" sheetId="5" r:id="rId5"/>
    <sheet name="MetroBankNLP" sheetId="8" r:id="rId6"/>
  </sheets>
  <externalReferences>
    <externalReference r:id="rId7"/>
  </externalReferences>
  <definedNames>
    <definedName name="solver_adj" localSheetId="5" hidden="1">MetroBankNLP!$D$9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100</definedName>
    <definedName name="solver_lhs1" localSheetId="5" hidden="1">MetroBankNLP!$D$9</definedName>
    <definedName name="solver_lin" localSheetId="5" hidden="1">2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2</definedName>
    <definedName name="solver_nod" localSheetId="5" hidden="1">2147483647</definedName>
    <definedName name="solver_num" localSheetId="5" hidden="1">1</definedName>
    <definedName name="solver_nwt" localSheetId="5" hidden="1">1</definedName>
    <definedName name="solver_opt" localSheetId="5" hidden="1">MetroBankNLP!$D$13</definedName>
    <definedName name="solver_pre" localSheetId="5" hidden="1">0.000001</definedName>
    <definedName name="solver_rbv" localSheetId="5" hidden="1">1</definedName>
    <definedName name="solver_rel1" localSheetId="5" hidden="1">3</definedName>
    <definedName name="solver_rhs1" localSheetId="5" hidden="1">1</definedName>
    <definedName name="solver_rlx" localSheetId="5" hidden="1">1</definedName>
    <definedName name="solver_rsd" localSheetId="5" hidden="1">0</definedName>
    <definedName name="solver_scl" localSheetId="5" hidden="1">2</definedName>
    <definedName name="solver_sho" localSheetId="5" hidden="1">2</definedName>
    <definedName name="solver_ssz" localSheetId="5" hidden="1">100</definedName>
    <definedName name="solver_tim" localSheetId="5" hidden="1">100</definedName>
    <definedName name="solver_tol" localSheetId="5" hidden="1">0.05</definedName>
    <definedName name="solver_typ" localSheetId="5" hidden="1">2</definedName>
    <definedName name="solver_val" localSheetId="5" hidden="1">0</definedName>
    <definedName name="solver_ver" localSheetId="5" hidden="1">3</definedName>
  </definedNames>
  <calcPr calcId="162913"/>
</workbook>
</file>

<file path=xl/calcChain.xml><?xml version="1.0" encoding="utf-8"?>
<calcChain xmlns="http://schemas.openxmlformats.org/spreadsheetml/2006/main">
  <c r="N2" i="7" l="1"/>
  <c r="D11" i="8"/>
  <c r="D12" i="8"/>
  <c r="C13" i="7"/>
  <c r="C14" i="7"/>
  <c r="C15" i="7" s="1"/>
  <c r="H12" i="7"/>
  <c r="H13" i="7"/>
  <c r="H14" i="7"/>
  <c r="L2" i="7" s="1"/>
  <c r="C12" i="7"/>
  <c r="H11" i="7"/>
  <c r="C11" i="7"/>
  <c r="H10" i="7"/>
  <c r="M2" i="7" s="1"/>
  <c r="D13" i="2"/>
  <c r="D15" i="2" s="1"/>
  <c r="D14" i="2"/>
  <c r="C10" i="6"/>
  <c r="C19" i="6" s="1"/>
  <c r="C21" i="6"/>
  <c r="C22" i="6"/>
  <c r="C20" i="6"/>
  <c r="F10" i="5"/>
  <c r="C5" i="5"/>
  <c r="D5" i="5"/>
  <c r="E5" i="5"/>
  <c r="E4" i="5"/>
  <c r="D4" i="5"/>
  <c r="D50" i="5" s="1"/>
  <c r="C4" i="5"/>
  <c r="B5" i="5"/>
  <c r="C18" i="5"/>
  <c r="G18" i="5" s="1"/>
  <c r="C10" i="2"/>
  <c r="D12" i="2" s="1"/>
  <c r="D21" i="2"/>
  <c r="D22" i="2"/>
  <c r="C20" i="2"/>
  <c r="D20" i="2"/>
  <c r="D18" i="2"/>
  <c r="D19" i="2" s="1"/>
  <c r="B9" i="4"/>
  <c r="D9" i="4" s="1"/>
  <c r="C9" i="4"/>
  <c r="A10" i="4"/>
  <c r="B10" i="4"/>
  <c r="D10" i="4" s="1"/>
  <c r="C10" i="4"/>
  <c r="A11" i="4"/>
  <c r="A12" i="4" s="1"/>
  <c r="B11" i="4"/>
  <c r="D11" i="4" s="1"/>
  <c r="C11" i="4"/>
  <c r="C8" i="4"/>
  <c r="B8" i="4"/>
  <c r="D8" i="4" s="1"/>
  <c r="B18" i="5"/>
  <c r="F18" i="5"/>
  <c r="B17" i="5"/>
  <c r="F17" i="5" s="1"/>
  <c r="B16" i="5"/>
  <c r="F16" i="5"/>
  <c r="B15" i="5"/>
  <c r="F15" i="5" s="1"/>
  <c r="B14" i="5"/>
  <c r="F14" i="5"/>
  <c r="B13" i="5"/>
  <c r="F13" i="5" s="1"/>
  <c r="B12" i="5"/>
  <c r="F12" i="5"/>
  <c r="B11" i="5"/>
  <c r="F11" i="5" s="1"/>
  <c r="E59" i="5"/>
  <c r="E58" i="5"/>
  <c r="I58" i="5" s="1"/>
  <c r="E57" i="5"/>
  <c r="I57" i="5" s="1"/>
  <c r="E56" i="5"/>
  <c r="E55" i="5"/>
  <c r="E54" i="5"/>
  <c r="E53" i="5"/>
  <c r="E52" i="5"/>
  <c r="E51" i="5"/>
  <c r="E50" i="5"/>
  <c r="I50" i="5" s="1"/>
  <c r="D48" i="5"/>
  <c r="H48" i="5" s="1"/>
  <c r="D45" i="5"/>
  <c r="D44" i="5"/>
  <c r="D43" i="5"/>
  <c r="H43" i="5" s="1"/>
  <c r="D40" i="5"/>
  <c r="H40" i="5" s="1"/>
  <c r="D37" i="5"/>
  <c r="D36" i="5"/>
  <c r="D35" i="5"/>
  <c r="H35" i="5" s="1"/>
  <c r="D32" i="5"/>
  <c r="H32" i="5" s="1"/>
  <c r="D29" i="5"/>
  <c r="D28" i="5"/>
  <c r="H28" i="5" s="1"/>
  <c r="C28" i="5"/>
  <c r="C27" i="5"/>
  <c r="C26" i="5"/>
  <c r="G26" i="5" s="1"/>
  <c r="C25" i="5"/>
  <c r="C24" i="5"/>
  <c r="C23" i="5"/>
  <c r="C22" i="5"/>
  <c r="C21" i="5"/>
  <c r="G21" i="5" s="1"/>
  <c r="C20" i="5"/>
  <c r="C19" i="5"/>
  <c r="I59" i="5"/>
  <c r="I56" i="5"/>
  <c r="I55" i="5"/>
  <c r="I54" i="5"/>
  <c r="I53" i="5"/>
  <c r="I52" i="5"/>
  <c r="I51" i="5"/>
  <c r="G28" i="5"/>
  <c r="G27" i="5"/>
  <c r="G25" i="5"/>
  <c r="G24" i="5"/>
  <c r="G23" i="5"/>
  <c r="G22" i="5"/>
  <c r="G20" i="5"/>
  <c r="G19" i="5"/>
  <c r="D13" i="8" l="1"/>
  <c r="C13" i="6"/>
  <c r="C15" i="6" s="1"/>
  <c r="C14" i="6"/>
  <c r="B12" i="4"/>
  <c r="D12" i="4" s="1"/>
  <c r="C12" i="4"/>
  <c r="A13" i="4"/>
  <c r="I4" i="2"/>
  <c r="D30" i="5"/>
  <c r="H30" i="5" s="1"/>
  <c r="D38" i="5"/>
  <c r="H38" i="5" s="1"/>
  <c r="D46" i="5"/>
  <c r="H46" i="5" s="1"/>
  <c r="G8" i="6"/>
  <c r="H50" i="5"/>
  <c r="D31" i="5"/>
  <c r="H31" i="5" s="1"/>
  <c r="D39" i="5"/>
  <c r="H39" i="5" s="1"/>
  <c r="D47" i="5"/>
  <c r="H47" i="5" s="1"/>
  <c r="C14" i="2"/>
  <c r="C13" i="2"/>
  <c r="C15" i="2" s="1"/>
  <c r="D16" i="2" s="1"/>
  <c r="H36" i="5"/>
  <c r="H44" i="5"/>
  <c r="D33" i="5"/>
  <c r="H33" i="5" s="1"/>
  <c r="D41" i="5"/>
  <c r="H41" i="5" s="1"/>
  <c r="D49" i="5"/>
  <c r="H49" i="5" s="1"/>
  <c r="C18" i="2"/>
  <c r="C18" i="6"/>
  <c r="C21" i="2"/>
  <c r="C22" i="2" s="1"/>
  <c r="H29" i="5"/>
  <c r="H37" i="5"/>
  <c r="H45" i="5"/>
  <c r="D34" i="5"/>
  <c r="H34" i="5" s="1"/>
  <c r="D42" i="5"/>
  <c r="H42" i="5" s="1"/>
  <c r="C19" i="2"/>
  <c r="C13" i="4" l="1"/>
  <c r="A14" i="4"/>
  <c r="B13" i="4"/>
  <c r="D13" i="4" s="1"/>
  <c r="B14" i="4" l="1"/>
  <c r="D14" i="4" s="1"/>
  <c r="C14" i="4"/>
  <c r="A15" i="4"/>
  <c r="C15" i="4" l="1"/>
  <c r="A16" i="4"/>
  <c r="B15" i="4"/>
  <c r="D15" i="4" l="1"/>
  <c r="B16" i="4"/>
  <c r="C16" i="4"/>
  <c r="A17" i="4"/>
  <c r="C17" i="4" l="1"/>
  <c r="A18" i="4"/>
  <c r="B17" i="4"/>
  <c r="D17" i="4" s="1"/>
  <c r="D16" i="4"/>
  <c r="B18" i="4" l="1"/>
  <c r="D18" i="4" s="1"/>
  <c r="C18" i="4"/>
  <c r="A19" i="4"/>
  <c r="C19" i="4" l="1"/>
  <c r="A20" i="4"/>
  <c r="B19" i="4"/>
  <c r="D19" i="4" s="1"/>
  <c r="B20" i="4" l="1"/>
  <c r="D20" i="4" s="1"/>
  <c r="C20" i="4"/>
  <c r="A21" i="4"/>
  <c r="C21" i="4" l="1"/>
  <c r="A22" i="4"/>
  <c r="B21" i="4"/>
  <c r="D21" i="4" s="1"/>
  <c r="B22" i="4" l="1"/>
  <c r="C22" i="4"/>
  <c r="A23" i="4"/>
  <c r="C23" i="4" l="1"/>
  <c r="A24" i="4"/>
  <c r="B23" i="4"/>
  <c r="D22" i="4"/>
  <c r="D23" i="4" l="1"/>
  <c r="B24" i="4"/>
  <c r="C24" i="4"/>
  <c r="A25" i="4"/>
  <c r="C25" i="4" l="1"/>
  <c r="B25" i="4"/>
  <c r="A26" i="4"/>
  <c r="D24" i="4"/>
  <c r="B26" i="4" l="1"/>
  <c r="D26" i="4" s="1"/>
  <c r="C26" i="4"/>
  <c r="A27" i="4"/>
  <c r="D25" i="4"/>
  <c r="C27" i="4" l="1"/>
  <c r="A28" i="4"/>
  <c r="B27" i="4"/>
  <c r="D27" i="4" s="1"/>
  <c r="B28" i="4" l="1"/>
  <c r="D28" i="4" s="1"/>
  <c r="C28" i="4"/>
  <c r="A29" i="4"/>
  <c r="C29" i="4" l="1"/>
  <c r="A30" i="4"/>
  <c r="B29" i="4"/>
  <c r="D29" i="4" s="1"/>
  <c r="B30" i="4" l="1"/>
  <c r="C30" i="4"/>
  <c r="A31" i="4"/>
  <c r="C31" i="4" l="1"/>
  <c r="A32" i="4"/>
  <c r="B31" i="4"/>
  <c r="D31" i="4" s="1"/>
  <c r="D30" i="4"/>
  <c r="B32" i="4" l="1"/>
  <c r="C32" i="4"/>
  <c r="A33" i="4"/>
  <c r="C33" i="4" l="1"/>
  <c r="A34" i="4"/>
  <c r="B33" i="4"/>
  <c r="D32" i="4"/>
  <c r="B34" i="4" l="1"/>
  <c r="C34" i="4"/>
  <c r="A35" i="4"/>
  <c r="D33" i="4"/>
  <c r="C35" i="4" l="1"/>
  <c r="A36" i="4"/>
  <c r="B35" i="4"/>
  <c r="D35" i="4" s="1"/>
  <c r="D34" i="4"/>
  <c r="B36" i="4" l="1"/>
  <c r="C36" i="4"/>
  <c r="A37" i="4"/>
  <c r="C37" i="4" l="1"/>
  <c r="A38" i="4"/>
  <c r="B37" i="4"/>
  <c r="D36" i="4"/>
  <c r="D37" i="4" l="1"/>
  <c r="B38" i="4"/>
  <c r="C38" i="4"/>
  <c r="A39" i="4"/>
  <c r="C39" i="4" l="1"/>
  <c r="A40" i="4"/>
  <c r="B39" i="4"/>
  <c r="D39" i="4" s="1"/>
  <c r="D38" i="4"/>
  <c r="B40" i="4" l="1"/>
  <c r="C40" i="4"/>
  <c r="A41" i="4"/>
  <c r="C41" i="4" l="1"/>
  <c r="A42" i="4"/>
  <c r="B41" i="4"/>
  <c r="D41" i="4" s="1"/>
  <c r="D40" i="4"/>
  <c r="B42" i="4" l="1"/>
  <c r="C42" i="4"/>
  <c r="A43" i="4"/>
  <c r="C43" i="4" l="1"/>
  <c r="A44" i="4"/>
  <c r="B43" i="4"/>
  <c r="D43" i="4" s="1"/>
  <c r="D42" i="4"/>
  <c r="B44" i="4" l="1"/>
  <c r="C44" i="4"/>
  <c r="A45" i="4"/>
  <c r="D44" i="4" l="1"/>
  <c r="C45" i="4"/>
  <c r="A46" i="4"/>
  <c r="B45" i="4"/>
  <c r="D45" i="4" l="1"/>
  <c r="B46" i="4"/>
  <c r="D46" i="4" s="1"/>
  <c r="C46" i="4"/>
  <c r="A47" i="4"/>
  <c r="C47" i="4" l="1"/>
  <c r="A48" i="4"/>
  <c r="B47" i="4"/>
  <c r="D47" i="4" s="1"/>
  <c r="B48" i="4" l="1"/>
  <c r="C48" i="4"/>
  <c r="A49" i="4"/>
  <c r="C49" i="4" l="1"/>
  <c r="A50" i="4"/>
  <c r="B49" i="4"/>
  <c r="D49" i="4" s="1"/>
  <c r="D48" i="4"/>
  <c r="B50" i="4" l="1"/>
  <c r="C50" i="4"/>
  <c r="A51" i="4"/>
  <c r="C51" i="4" l="1"/>
  <c r="A52" i="4"/>
  <c r="B51" i="4"/>
  <c r="D51" i="4" s="1"/>
  <c r="D50" i="4"/>
  <c r="B52" i="4" l="1"/>
  <c r="D52" i="4" s="1"/>
  <c r="C52" i="4"/>
  <c r="A53" i="4"/>
  <c r="C53" i="4" l="1"/>
  <c r="A54" i="4"/>
  <c r="B53" i="4"/>
  <c r="D53" i="4" l="1"/>
  <c r="B54" i="4"/>
  <c r="C54" i="4"/>
  <c r="A55" i="4"/>
  <c r="C55" i="4" l="1"/>
  <c r="A56" i="4"/>
  <c r="B55" i="4"/>
  <c r="D55" i="4" s="1"/>
  <c r="D54" i="4"/>
  <c r="B56" i="4" l="1"/>
  <c r="D56" i="4" s="1"/>
  <c r="C56" i="4"/>
  <c r="A57" i="4"/>
  <c r="C57" i="4" l="1"/>
  <c r="B57" i="4"/>
  <c r="D57" i="4" s="1"/>
</calcChain>
</file>

<file path=xl/comments1.xml><?xml version="1.0" encoding="utf-8"?>
<comments xmlns="http://schemas.openxmlformats.org/spreadsheetml/2006/main">
  <authors>
    <author>sue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 xml:space="preserve">ordering  cost + holding cost
</t>
        </r>
      </text>
    </comment>
  </commentList>
</comments>
</file>

<file path=xl/comments2.xml><?xml version="1.0" encoding="utf-8"?>
<comments xmlns="http://schemas.openxmlformats.org/spreadsheetml/2006/main">
  <authors>
    <author>A satisfied Microsoft Office user</author>
    <author>Cliff Ragsdale</author>
  </authors>
  <commentList>
    <comment ref="D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3" authorId="1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sharedStrings.xml><?xml version="1.0" encoding="utf-8"?>
<sst xmlns="http://schemas.openxmlformats.org/spreadsheetml/2006/main" count="95" uniqueCount="61">
  <si>
    <t>Economic Order Quantity</t>
  </si>
  <si>
    <t>Annual Demand</t>
  </si>
  <si>
    <t>Ordering Cost</t>
  </si>
  <si>
    <t>Annual Holding Rate%</t>
  </si>
  <si>
    <t>Cost Per Unit</t>
  </si>
  <si>
    <t>Working Days Per Year</t>
  </si>
  <si>
    <t>Lead Time (Days)</t>
  </si>
  <si>
    <t>Optimal Order Quantity</t>
  </si>
  <si>
    <t>Requested Order Quantity</t>
  </si>
  <si>
    <t>% Change from EOQ</t>
  </si>
  <si>
    <t>Annual Holding Cost</t>
  </si>
  <si>
    <t>Annual Ordering Cost</t>
  </si>
  <si>
    <t>Total Annual Cost</t>
  </si>
  <si>
    <t>% Over Minimum TAC</t>
  </si>
  <si>
    <t>Maximum Inventory Level</t>
  </si>
  <si>
    <t>Average Inventory Level</t>
  </si>
  <si>
    <t>Reorder Point</t>
  </si>
  <si>
    <t>Number of Orders Per Year</t>
  </si>
  <si>
    <t>Cycle Time</t>
  </si>
  <si>
    <t>Hold Cost</t>
  </si>
  <si>
    <t>Replenishment Cost</t>
  </si>
  <si>
    <t>Batch Size</t>
  </si>
  <si>
    <t>Holding Cost</t>
  </si>
  <si>
    <t>Total Cost</t>
  </si>
  <si>
    <t>Demand</t>
  </si>
  <si>
    <t>Unit Cost</t>
  </si>
  <si>
    <t>A Hold Cost</t>
  </si>
  <si>
    <t>A Demand</t>
  </si>
  <si>
    <t>Discount Cost</t>
  </si>
  <si>
    <t>Quantity</t>
  </si>
  <si>
    <t>TAC 0%</t>
  </si>
  <si>
    <t>TAC 7%</t>
  </si>
  <si>
    <t>TAC 10%</t>
  </si>
  <si>
    <t>TAC 15%</t>
  </si>
  <si>
    <t>Profit 0%</t>
  </si>
  <si>
    <t>Profit 7%</t>
  </si>
  <si>
    <t>Profit 10%</t>
  </si>
  <si>
    <t>Profit 15%</t>
  </si>
  <si>
    <t>TC</t>
  </si>
  <si>
    <t>OQ</t>
  </si>
  <si>
    <t>Ordering costs</t>
  </si>
  <si>
    <t>Ak/Q</t>
  </si>
  <si>
    <t>Qch/2</t>
  </si>
  <si>
    <t>Ak/Q+Qch/2</t>
  </si>
  <si>
    <t>optimal order quantity</t>
  </si>
  <si>
    <t>Number of orders per year</t>
  </si>
  <si>
    <t>cycle time</t>
  </si>
  <si>
    <t>Order costs</t>
  </si>
  <si>
    <t>Inventory costs</t>
  </si>
  <si>
    <t>Total costs</t>
  </si>
  <si>
    <t>Annual Demand (A)</t>
  </si>
  <si>
    <t>Cost per Unit (c)</t>
  </si>
  <si>
    <t>Cost per Order (k)</t>
  </si>
  <si>
    <t>Holding Cost (h)</t>
  </si>
  <si>
    <t>order quantity</t>
  </si>
  <si>
    <t>Cost per Unit</t>
  </si>
  <si>
    <t>Cost per Order</t>
  </si>
  <si>
    <t>Order Quantity</t>
  </si>
  <si>
    <t>Cost of Ordering</t>
  </si>
  <si>
    <t>Inventory Cost</t>
  </si>
  <si>
    <t>Order 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</si>
</sst>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&quot;$&quot;#,##0_);\(&quot;$&quot;#,##0\)"/>
    <numFmt numFmtId="165" formatCode="_(&quot;$&quot;* #,##0.00_);_(&quot;$&quot;* \(#,##0.00\);_(&quot;$&quot;* &quot;-&quot;??_);_(@_)"/>
    <numFmt numFmtId="166" formatCode="0.0"/>
    <numFmt numFmtId="167" formatCode="0.000"/>
    <numFmt numFmtId="168" formatCode="&quot;Total Cost&quot;"/>
    <numFmt numFmtId="169" formatCode="&quot;Orders per Yr&quot;"/>
    <numFmt numFmtId="170" formatCode="&quot;Cycle Time&quot;"/>
  </numFmts>
  <fonts count="10" x14ac:knownFonts="1">
    <font>
      <sz val="11"/>
      <name val="Times New Roman"/>
    </font>
    <font>
      <sz val="11"/>
      <name val="Times New Roman"/>
      <family val="1"/>
    </font>
    <font>
      <sz val="10"/>
      <name val="Arial"/>
      <family val="2"/>
    </font>
    <font>
      <sz val="8"/>
      <name val="Times New Roman"/>
      <family val="1"/>
    </font>
    <font>
      <b/>
      <sz val="11"/>
      <name val="Times New Roman"/>
      <family val="1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0"/>
      <name val="Arial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2" fillId="0" borderId="0"/>
  </cellStyleXfs>
  <cellXfs count="83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2" fillId="0" borderId="0" xfId="2"/>
    <xf numFmtId="1" fontId="2" fillId="0" borderId="0" xfId="2" applyNumberFormat="1"/>
    <xf numFmtId="0" fontId="2" fillId="0" borderId="0" xfId="2" applyFont="1"/>
    <xf numFmtId="9" fontId="0" fillId="0" borderId="0" xfId="0" applyNumberFormat="1"/>
    <xf numFmtId="166" fontId="0" fillId="0" borderId="0" xfId="0" applyNumberFormat="1"/>
    <xf numFmtId="0" fontId="4" fillId="0" borderId="0" xfId="0" applyFont="1"/>
    <xf numFmtId="2" fontId="0" fillId="2" borderId="1" xfId="0" applyNumberFormat="1" applyFill="1" applyBorder="1" applyAlignment="1">
      <alignment horizontal="right"/>
    </xf>
    <xf numFmtId="165" fontId="0" fillId="2" borderId="2" xfId="1" applyFont="1" applyFill="1" applyBorder="1" applyAlignment="1">
      <alignment horizontal="right"/>
    </xf>
    <xf numFmtId="2" fontId="0" fillId="2" borderId="2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4" fillId="0" borderId="4" xfId="0" applyFont="1" applyBorder="1"/>
    <xf numFmtId="0" fontId="0" fillId="0" borderId="5" xfId="0" applyBorder="1"/>
    <xf numFmtId="0" fontId="4" fillId="0" borderId="6" xfId="0" applyFont="1" applyBorder="1"/>
    <xf numFmtId="0" fontId="0" fillId="0" borderId="7" xfId="0" applyBorder="1"/>
    <xf numFmtId="0" fontId="4" fillId="0" borderId="8" xfId="0" applyFont="1" applyBorder="1"/>
    <xf numFmtId="0" fontId="0" fillId="0" borderId="9" xfId="0" applyBorder="1"/>
    <xf numFmtId="0" fontId="0" fillId="0" borderId="10" xfId="0" applyBorder="1"/>
    <xf numFmtId="2" fontId="0" fillId="0" borderId="5" xfId="0" applyNumberFormat="1" applyBorder="1" applyAlignment="1">
      <alignment horizontal="right"/>
    </xf>
    <xf numFmtId="0" fontId="0" fillId="0" borderId="0" xfId="0" applyBorder="1"/>
    <xf numFmtId="0" fontId="0" fillId="0" borderId="11" xfId="0" applyBorder="1"/>
    <xf numFmtId="2" fontId="0" fillId="0" borderId="6" xfId="0" applyNumberFormat="1" applyBorder="1" applyAlignment="1">
      <alignment horizontal="right"/>
    </xf>
    <xf numFmtId="2" fontId="0" fillId="0" borderId="8" xfId="0" applyNumberFormat="1" applyBorder="1" applyAlignment="1">
      <alignment horizontal="right"/>
    </xf>
    <xf numFmtId="2" fontId="0" fillId="3" borderId="12" xfId="0" applyNumberFormat="1" applyFill="1" applyBorder="1" applyAlignment="1">
      <alignment horizontal="right"/>
    </xf>
    <xf numFmtId="2" fontId="4" fillId="4" borderId="1" xfId="0" applyNumberFormat="1" applyFont="1" applyFill="1" applyBorder="1" applyAlignment="1">
      <alignment horizontal="right"/>
    </xf>
    <xf numFmtId="2" fontId="4" fillId="4" borderId="3" xfId="0" applyNumberFormat="1" applyFont="1" applyFill="1" applyBorder="1" applyAlignment="1">
      <alignment horizontal="right"/>
    </xf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Border="1"/>
    <xf numFmtId="2" fontId="0" fillId="0" borderId="4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2" fontId="0" fillId="0" borderId="9" xfId="0" applyNumberFormat="1" applyBorder="1" applyAlignment="1">
      <alignment horizontal="right"/>
    </xf>
    <xf numFmtId="165" fontId="0" fillId="0" borderId="4" xfId="1" applyFont="1" applyBorder="1" applyAlignment="1">
      <alignment horizontal="right"/>
    </xf>
    <xf numFmtId="165" fontId="0" fillId="0" borderId="5" xfId="1" applyFont="1" applyBorder="1" applyAlignment="1">
      <alignment horizontal="right"/>
    </xf>
    <xf numFmtId="165" fontId="0" fillId="0" borderId="6" xfId="1" applyFont="1" applyBorder="1" applyAlignment="1">
      <alignment horizontal="right"/>
    </xf>
    <xf numFmtId="165" fontId="0" fillId="0" borderId="7" xfId="1" applyFont="1" applyBorder="1" applyAlignment="1">
      <alignment horizontal="right"/>
    </xf>
    <xf numFmtId="2" fontId="0" fillId="5" borderId="12" xfId="0" applyNumberFormat="1" applyFill="1" applyBorder="1" applyAlignment="1">
      <alignment horizontal="right"/>
    </xf>
    <xf numFmtId="2" fontId="0" fillId="0" borderId="0" xfId="0" applyNumberFormat="1"/>
    <xf numFmtId="165" fontId="0" fillId="0" borderId="0" xfId="0" applyNumberFormat="1"/>
    <xf numFmtId="0" fontId="4" fillId="0" borderId="11" xfId="0" applyFont="1" applyBorder="1"/>
    <xf numFmtId="0" fontId="4" fillId="0" borderId="7" xfId="0" applyFont="1" applyBorder="1"/>
    <xf numFmtId="0" fontId="0" fillId="0" borderId="0" xfId="0" applyAlignment="1">
      <alignment textRotation="180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0" fontId="7" fillId="0" borderId="16" xfId="0" applyFont="1" applyBorder="1"/>
    <xf numFmtId="3" fontId="7" fillId="2" borderId="17" xfId="0" applyNumberFormat="1" applyFont="1" applyFill="1" applyBorder="1" applyAlignment="1">
      <alignment horizontal="center"/>
    </xf>
    <xf numFmtId="0" fontId="7" fillId="0" borderId="0" xfId="0" applyFont="1"/>
    <xf numFmtId="3" fontId="7" fillId="2" borderId="0" xfId="0" applyNumberFormat="1" applyFont="1" applyFill="1" applyAlignment="1">
      <alignment horizontal="center"/>
    </xf>
    <xf numFmtId="0" fontId="7" fillId="0" borderId="18" xfId="0" applyFont="1" applyBorder="1"/>
    <xf numFmtId="164" fontId="7" fillId="2" borderId="19" xfId="1" applyNumberFormat="1" applyFont="1" applyFill="1" applyBorder="1" applyAlignment="1">
      <alignment horizontal="center"/>
    </xf>
    <xf numFmtId="164" fontId="7" fillId="2" borderId="0" xfId="1" applyNumberFormat="1" applyFont="1" applyFill="1" applyAlignment="1">
      <alignment horizontal="center"/>
    </xf>
    <xf numFmtId="0" fontId="7" fillId="0" borderId="20" xfId="0" applyFont="1" applyBorder="1"/>
    <xf numFmtId="9" fontId="7" fillId="2" borderId="21" xfId="0" applyNumberFormat="1" applyFont="1" applyFill="1" applyBorder="1" applyAlignment="1">
      <alignment horizontal="center"/>
    </xf>
    <xf numFmtId="9" fontId="7" fillId="2" borderId="0" xfId="0" applyNumberFormat="1" applyFont="1" applyFill="1" applyAlignment="1">
      <alignment horizontal="center"/>
    </xf>
    <xf numFmtId="0" fontId="7" fillId="0" borderId="16" xfId="0" applyFont="1" applyFill="1" applyBorder="1"/>
    <xf numFmtId="167" fontId="6" fillId="5" borderId="17" xfId="0" applyNumberFormat="1" applyFont="1" applyFill="1" applyBorder="1" applyAlignment="1">
      <alignment horizontal="center"/>
    </xf>
    <xf numFmtId="0" fontId="7" fillId="0" borderId="0" xfId="0" applyFont="1" applyFill="1" applyBorder="1"/>
    <xf numFmtId="167" fontId="6" fillId="5" borderId="0" xfId="0" applyNumberFormat="1" applyFont="1" applyFill="1" applyAlignment="1">
      <alignment horizontal="center"/>
    </xf>
    <xf numFmtId="0" fontId="7" fillId="0" borderId="18" xfId="0" applyFont="1" applyFill="1" applyBorder="1"/>
    <xf numFmtId="1" fontId="6" fillId="5" borderId="19" xfId="0" applyNumberFormat="1" applyFont="1" applyFill="1" applyBorder="1" applyAlignment="1">
      <alignment horizontal="center"/>
    </xf>
    <xf numFmtId="1" fontId="6" fillId="5" borderId="0" xfId="0" applyNumberFormat="1" applyFont="1" applyFill="1" applyAlignment="1">
      <alignment horizontal="center"/>
    </xf>
    <xf numFmtId="0" fontId="7" fillId="0" borderId="20" xfId="0" applyFont="1" applyFill="1" applyBorder="1"/>
    <xf numFmtId="1" fontId="6" fillId="5" borderId="21" xfId="0" applyNumberFormat="1" applyFont="1" applyFill="1" applyBorder="1" applyAlignment="1">
      <alignment horizontal="center"/>
    </xf>
    <xf numFmtId="0" fontId="7" fillId="0" borderId="12" xfId="0" applyFont="1" applyBorder="1"/>
    <xf numFmtId="3" fontId="7" fillId="0" borderId="12" xfId="0" applyNumberFormat="1" applyFont="1" applyBorder="1" applyAlignment="1">
      <alignment horizontal="center"/>
    </xf>
    <xf numFmtId="164" fontId="7" fillId="0" borderId="12" xfId="1" applyNumberFormat="1" applyFont="1" applyBorder="1" applyAlignment="1">
      <alignment horizontal="center"/>
    </xf>
    <xf numFmtId="9" fontId="7" fillId="0" borderId="12" xfId="0" applyNumberFormat="1" applyFont="1" applyBorder="1" applyAlignment="1">
      <alignment horizontal="center"/>
    </xf>
    <xf numFmtId="0" fontId="0" fillId="0" borderId="12" xfId="0" applyBorder="1"/>
    <xf numFmtId="0" fontId="0" fillId="0" borderId="12" xfId="0" applyBorder="1" applyAlignment="1">
      <alignment horizontal="center"/>
    </xf>
    <xf numFmtId="2" fontId="8" fillId="6" borderId="12" xfId="0" applyNumberFormat="1" applyFont="1" applyFill="1" applyBorder="1" applyAlignment="1">
      <alignment horizontal="center"/>
    </xf>
    <xf numFmtId="164" fontId="2" fillId="0" borderId="12" xfId="1" applyNumberFormat="1" applyFont="1" applyBorder="1" applyAlignment="1">
      <alignment horizontal="center"/>
    </xf>
    <xf numFmtId="164" fontId="9" fillId="6" borderId="12" xfId="1" applyNumberFormat="1" applyFont="1" applyFill="1" applyBorder="1" applyAlignment="1">
      <alignment horizontal="center"/>
    </xf>
    <xf numFmtId="1" fontId="0" fillId="0" borderId="0" xfId="0" applyNumberFormat="1"/>
    <xf numFmtId="168" fontId="0" fillId="0" borderId="22" xfId="0" applyNumberFormat="1" applyBorder="1"/>
    <xf numFmtId="169" fontId="0" fillId="0" borderId="22" xfId="0" applyNumberFormat="1" applyBorder="1"/>
    <xf numFmtId="170" fontId="0" fillId="0" borderId="22" xfId="0" applyNumberFormat="1" applyBorder="1"/>
    <xf numFmtId="0" fontId="6" fillId="0" borderId="23" xfId="0" applyFont="1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textRotation="180"/>
    </xf>
  </cellXfs>
  <cellStyles count="3">
    <cellStyle name="Currency" xfId="1" builtinId="4"/>
    <cellStyle name="Normal" xfId="0" builtinId="0"/>
    <cellStyle name="Normal_Inventory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41955193482688"/>
          <c:y val="9.0278083896497593E-2"/>
          <c:w val="0.79837067209775969"/>
          <c:h val="0.75347477713615296"/>
        </c:manualLayout>
      </c:layout>
      <c:lineChart>
        <c:grouping val="standard"/>
        <c:varyColors val="0"/>
        <c:ser>
          <c:idx val="0"/>
          <c:order val="0"/>
          <c:tx>
            <c:strRef>
              <c:f>'EOQ Introduction'!$B$6</c:f>
              <c:strCache>
                <c:ptCount val="1"/>
                <c:pt idx="0">
                  <c:v>Replenishment Cost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'EOQ Introduction'!$A$7:$A$57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'EOQ Introduction'!$B$7:$B$57</c:f>
              <c:numCache>
                <c:formatCode>0</c:formatCode>
                <c:ptCount val="51"/>
                <c:pt idx="1">
                  <c:v>5000</c:v>
                </c:pt>
                <c:pt idx="2">
                  <c:v>2500</c:v>
                </c:pt>
                <c:pt idx="3">
                  <c:v>1666.6666666666667</c:v>
                </c:pt>
                <c:pt idx="4">
                  <c:v>1250</c:v>
                </c:pt>
                <c:pt idx="5">
                  <c:v>1000</c:v>
                </c:pt>
                <c:pt idx="6">
                  <c:v>833.33333333333337</c:v>
                </c:pt>
                <c:pt idx="7">
                  <c:v>714.28571428571433</c:v>
                </c:pt>
                <c:pt idx="8">
                  <c:v>625</c:v>
                </c:pt>
                <c:pt idx="9">
                  <c:v>555.55555555555554</c:v>
                </c:pt>
                <c:pt idx="10">
                  <c:v>500</c:v>
                </c:pt>
                <c:pt idx="11">
                  <c:v>454.54545454545456</c:v>
                </c:pt>
                <c:pt idx="12">
                  <c:v>416.66666666666669</c:v>
                </c:pt>
                <c:pt idx="13">
                  <c:v>384.61538461538464</c:v>
                </c:pt>
                <c:pt idx="14">
                  <c:v>357.14285714285717</c:v>
                </c:pt>
                <c:pt idx="15">
                  <c:v>333.33333333333337</c:v>
                </c:pt>
                <c:pt idx="16">
                  <c:v>312.5</c:v>
                </c:pt>
                <c:pt idx="17">
                  <c:v>294.11764705882354</c:v>
                </c:pt>
                <c:pt idx="18">
                  <c:v>277.77777777777777</c:v>
                </c:pt>
                <c:pt idx="19">
                  <c:v>263.15789473684214</c:v>
                </c:pt>
                <c:pt idx="20">
                  <c:v>250</c:v>
                </c:pt>
                <c:pt idx="21">
                  <c:v>238.0952380952381</c:v>
                </c:pt>
                <c:pt idx="22">
                  <c:v>227.27272727272728</c:v>
                </c:pt>
                <c:pt idx="23">
                  <c:v>217.39130434782606</c:v>
                </c:pt>
                <c:pt idx="24">
                  <c:v>208.33333333333334</c:v>
                </c:pt>
                <c:pt idx="25">
                  <c:v>200</c:v>
                </c:pt>
                <c:pt idx="26">
                  <c:v>192.30769230769232</c:v>
                </c:pt>
                <c:pt idx="27">
                  <c:v>185.18518518518519</c:v>
                </c:pt>
                <c:pt idx="28">
                  <c:v>178.57142857142858</c:v>
                </c:pt>
                <c:pt idx="29">
                  <c:v>172.41379310344826</c:v>
                </c:pt>
                <c:pt idx="30">
                  <c:v>166.66666666666669</c:v>
                </c:pt>
                <c:pt idx="31">
                  <c:v>161.29032258064515</c:v>
                </c:pt>
                <c:pt idx="32">
                  <c:v>156.25</c:v>
                </c:pt>
                <c:pt idx="33">
                  <c:v>151.5151515151515</c:v>
                </c:pt>
                <c:pt idx="34">
                  <c:v>147.05882352941177</c:v>
                </c:pt>
                <c:pt idx="35">
                  <c:v>142.85714285714286</c:v>
                </c:pt>
                <c:pt idx="36">
                  <c:v>138.88888888888889</c:v>
                </c:pt>
                <c:pt idx="37">
                  <c:v>135.13513513513513</c:v>
                </c:pt>
                <c:pt idx="38">
                  <c:v>131.57894736842107</c:v>
                </c:pt>
                <c:pt idx="39">
                  <c:v>128.2051282051282</c:v>
                </c:pt>
                <c:pt idx="40">
                  <c:v>125</c:v>
                </c:pt>
                <c:pt idx="41">
                  <c:v>121.95121951219512</c:v>
                </c:pt>
                <c:pt idx="42">
                  <c:v>119.04761904761905</c:v>
                </c:pt>
                <c:pt idx="43">
                  <c:v>116.27906976744187</c:v>
                </c:pt>
                <c:pt idx="44">
                  <c:v>113.63636363636364</c:v>
                </c:pt>
                <c:pt idx="45">
                  <c:v>111.11111111111111</c:v>
                </c:pt>
                <c:pt idx="46">
                  <c:v>108.69565217391303</c:v>
                </c:pt>
                <c:pt idx="47">
                  <c:v>106.38297872340425</c:v>
                </c:pt>
                <c:pt idx="48">
                  <c:v>104.16666666666667</c:v>
                </c:pt>
                <c:pt idx="49">
                  <c:v>102.04081632653062</c:v>
                </c:pt>
                <c:pt idx="5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4-437E-AAAF-A9B68F52C7D3}"/>
            </c:ext>
          </c:extLst>
        </c:ser>
        <c:ser>
          <c:idx val="1"/>
          <c:order val="1"/>
          <c:tx>
            <c:strRef>
              <c:f>'EOQ Introduction'!$C$6</c:f>
              <c:strCache>
                <c:ptCount val="1"/>
                <c:pt idx="0">
                  <c:v>Holding Cost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'EOQ Introduction'!$A$7:$A$57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'EOQ Introduction'!$C$7:$C$57</c:f>
              <c:numCache>
                <c:formatCode>0</c:formatCode>
                <c:ptCount val="51"/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84-437E-AAAF-A9B68F52C7D3}"/>
            </c:ext>
          </c:extLst>
        </c:ser>
        <c:ser>
          <c:idx val="2"/>
          <c:order val="2"/>
          <c:tx>
            <c:strRef>
              <c:f>'EOQ Introduction'!$D$6</c:f>
              <c:strCache>
                <c:ptCount val="1"/>
                <c:pt idx="0">
                  <c:v>Total Cost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'EOQ Introduction'!$A$7:$A$57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'EOQ Introduction'!$D$7:$D$57</c:f>
              <c:numCache>
                <c:formatCode>0</c:formatCode>
                <c:ptCount val="51"/>
                <c:pt idx="1">
                  <c:v>5050</c:v>
                </c:pt>
                <c:pt idx="2">
                  <c:v>2600</c:v>
                </c:pt>
                <c:pt idx="3">
                  <c:v>1816.6666666666667</c:v>
                </c:pt>
                <c:pt idx="4">
                  <c:v>1450</c:v>
                </c:pt>
                <c:pt idx="5">
                  <c:v>1250</c:v>
                </c:pt>
                <c:pt idx="6">
                  <c:v>1133.3333333333335</c:v>
                </c:pt>
                <c:pt idx="7">
                  <c:v>1064.2857142857142</c:v>
                </c:pt>
                <c:pt idx="8">
                  <c:v>1025</c:v>
                </c:pt>
                <c:pt idx="9">
                  <c:v>1005.5555555555555</c:v>
                </c:pt>
                <c:pt idx="10">
                  <c:v>1000</c:v>
                </c:pt>
                <c:pt idx="11">
                  <c:v>1004.5454545454545</c:v>
                </c:pt>
                <c:pt idx="12">
                  <c:v>1016.6666666666667</c:v>
                </c:pt>
                <c:pt idx="13">
                  <c:v>1034.6153846153848</c:v>
                </c:pt>
                <c:pt idx="14">
                  <c:v>1057.1428571428571</c:v>
                </c:pt>
                <c:pt idx="15">
                  <c:v>1083.3333333333335</c:v>
                </c:pt>
                <c:pt idx="16">
                  <c:v>1112.5</c:v>
                </c:pt>
                <c:pt idx="17">
                  <c:v>1144.1176470588234</c:v>
                </c:pt>
                <c:pt idx="18">
                  <c:v>1177.7777777777778</c:v>
                </c:pt>
                <c:pt idx="19">
                  <c:v>1213.1578947368421</c:v>
                </c:pt>
                <c:pt idx="20">
                  <c:v>1250</c:v>
                </c:pt>
                <c:pt idx="21">
                  <c:v>1288.0952380952381</c:v>
                </c:pt>
                <c:pt idx="22">
                  <c:v>1327.2727272727273</c:v>
                </c:pt>
                <c:pt idx="23">
                  <c:v>1367.391304347826</c:v>
                </c:pt>
                <c:pt idx="24">
                  <c:v>1408.3333333333333</c:v>
                </c:pt>
                <c:pt idx="25">
                  <c:v>1450</c:v>
                </c:pt>
                <c:pt idx="26">
                  <c:v>1492.3076923076924</c:v>
                </c:pt>
                <c:pt idx="27">
                  <c:v>1535.1851851851852</c:v>
                </c:pt>
                <c:pt idx="28">
                  <c:v>1578.5714285714287</c:v>
                </c:pt>
                <c:pt idx="29">
                  <c:v>1622.4137931034484</c:v>
                </c:pt>
                <c:pt idx="30">
                  <c:v>1666.6666666666667</c:v>
                </c:pt>
                <c:pt idx="31">
                  <c:v>1711.2903225806451</c:v>
                </c:pt>
                <c:pt idx="32">
                  <c:v>1756.25</c:v>
                </c:pt>
                <c:pt idx="33">
                  <c:v>1801.5151515151515</c:v>
                </c:pt>
                <c:pt idx="34">
                  <c:v>1847.0588235294117</c:v>
                </c:pt>
                <c:pt idx="35">
                  <c:v>1892.8571428571429</c:v>
                </c:pt>
                <c:pt idx="36">
                  <c:v>1938.8888888888889</c:v>
                </c:pt>
                <c:pt idx="37">
                  <c:v>1985.1351351351352</c:v>
                </c:pt>
                <c:pt idx="38">
                  <c:v>2031.578947368421</c:v>
                </c:pt>
                <c:pt idx="39">
                  <c:v>2078.2051282051284</c:v>
                </c:pt>
                <c:pt idx="40">
                  <c:v>2125</c:v>
                </c:pt>
                <c:pt idx="41">
                  <c:v>2171.9512195121952</c:v>
                </c:pt>
                <c:pt idx="42">
                  <c:v>2219.0476190476193</c:v>
                </c:pt>
                <c:pt idx="43">
                  <c:v>2266.2790697674418</c:v>
                </c:pt>
                <c:pt idx="44">
                  <c:v>2313.6363636363635</c:v>
                </c:pt>
                <c:pt idx="45">
                  <c:v>2361.1111111111113</c:v>
                </c:pt>
                <c:pt idx="46">
                  <c:v>2408.695652173913</c:v>
                </c:pt>
                <c:pt idx="47">
                  <c:v>2456.3829787234044</c:v>
                </c:pt>
                <c:pt idx="48">
                  <c:v>2504.1666666666665</c:v>
                </c:pt>
                <c:pt idx="49">
                  <c:v>2552.0408163265306</c:v>
                </c:pt>
                <c:pt idx="50">
                  <c:v>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84-437E-AAAF-A9B68F52C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366136"/>
        <c:axId val="1"/>
      </c:lineChart>
      <c:catAx>
        <c:axId val="423366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3661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1234248179276685"/>
          <c:y val="0.12332492146394673"/>
          <c:w val="0.30379782042431847"/>
          <c:h val="0.211797147731560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Total Costs</a:t>
            </a:r>
          </a:p>
        </c:rich>
      </c:tx>
      <c:layout>
        <c:manualLayout>
          <c:xMode val="edge"/>
          <c:yMode val="edge"/>
          <c:x val="0.41750907510187596"/>
          <c:y val="3.32480818414322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94633829561614"/>
          <c:y val="0.15601042500502643"/>
          <c:w val="0.79293059654256848"/>
          <c:h val="0.6854228508417554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MetroBank!$K$3:$K$13</c:f>
              <c:numCache>
                <c:formatCode>General</c:formatCode>
                <c:ptCount val="11"/>
                <c:pt idx="0">
                  <c:v>500</c:v>
                </c:pt>
                <c:pt idx="1">
                  <c:v>550</c:v>
                </c:pt>
                <c:pt idx="2">
                  <c:v>600</c:v>
                </c:pt>
                <c:pt idx="3">
                  <c:v>650</c:v>
                </c:pt>
                <c:pt idx="4">
                  <c:v>700</c:v>
                </c:pt>
                <c:pt idx="5">
                  <c:v>750</c:v>
                </c:pt>
                <c:pt idx="6">
                  <c:v>800</c:v>
                </c:pt>
                <c:pt idx="7">
                  <c:v>850</c:v>
                </c:pt>
                <c:pt idx="8">
                  <c:v>900</c:v>
                </c:pt>
                <c:pt idx="9">
                  <c:v>950</c:v>
                </c:pt>
                <c:pt idx="10">
                  <c:v>1000</c:v>
                </c:pt>
              </c:numCache>
            </c:numRef>
          </c:cat>
          <c:val>
            <c:numRef>
              <c:f>MetroBank!$L$3:$L$13</c:f>
              <c:numCache>
                <c:formatCode>0</c:formatCode>
                <c:ptCount val="11"/>
                <c:pt idx="0">
                  <c:v>3975</c:v>
                </c:pt>
                <c:pt idx="1">
                  <c:v>3914.318181818182</c:v>
                </c:pt>
                <c:pt idx="2">
                  <c:v>3890</c:v>
                </c:pt>
                <c:pt idx="3">
                  <c:v>3893.6538461538462</c:v>
                </c:pt>
                <c:pt idx="4">
                  <c:v>3919.2857142857142</c:v>
                </c:pt>
                <c:pt idx="5">
                  <c:v>3962.5</c:v>
                </c:pt>
                <c:pt idx="6">
                  <c:v>4020</c:v>
                </c:pt>
                <c:pt idx="7">
                  <c:v>4089.2647058823532</c:v>
                </c:pt>
                <c:pt idx="8">
                  <c:v>4168.333333333333</c:v>
                </c:pt>
                <c:pt idx="9">
                  <c:v>4255.6578947368416</c:v>
                </c:pt>
                <c:pt idx="10">
                  <c:v>4350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61-4D4E-A4F0-85380D7F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66464"/>
        <c:axId val="1"/>
      </c:lineChart>
      <c:catAx>
        <c:axId val="42336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Order Quantity</a:t>
                </a:r>
              </a:p>
            </c:rich>
          </c:tx>
          <c:layout>
            <c:manualLayout>
              <c:xMode val="edge"/>
              <c:yMode val="edge"/>
              <c:x val="0.43434422345558454"/>
              <c:y val="0.918159641809479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$'s</a:t>
                </a:r>
              </a:p>
            </c:rich>
          </c:tx>
          <c:layout>
            <c:manualLayout>
              <c:xMode val="edge"/>
              <c:yMode val="edge"/>
              <c:x val="2.3568976954803728E-2"/>
              <c:y val="0.4731463170684226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3664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Total Cost vs Order Quantity</a:t>
            </a:r>
          </a:p>
        </c:rich>
      </c:tx>
      <c:layout>
        <c:manualLayout>
          <c:xMode val="edge"/>
          <c:yMode val="edge"/>
          <c:x val="0.37795275590551181"/>
          <c:y val="3.17848410757946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38582677165354"/>
          <c:y val="0.15647940441554814"/>
          <c:w val="0.80157480314960627"/>
          <c:h val="0.67481743154205132"/>
        </c:manualLayout>
      </c:layout>
      <c:lineChart>
        <c:grouping val="standard"/>
        <c:varyColors val="0"/>
        <c:ser>
          <c:idx val="0"/>
          <c:order val="0"/>
          <c:tx>
            <c:v>Total Cost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'EOQ Formulas'!$H$5:$H$16</c:f>
              <c:numCache>
                <c:formatCode>General</c:formatCode>
                <c:ptCount val="12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</c:numCache>
            </c:numRef>
          </c:cat>
          <c:val>
            <c:numRef>
              <c:f>'EOQ Formulas'!$I$5:$I$16</c:f>
              <c:numCache>
                <c:formatCode>General</c:formatCode>
                <c:ptCount val="12"/>
                <c:pt idx="0">
                  <c:v>966.66666666666663</c:v>
                </c:pt>
                <c:pt idx="1">
                  <c:v>940.38461538461536</c:v>
                </c:pt>
                <c:pt idx="2">
                  <c:v>921.42857142857144</c:v>
                </c:pt>
                <c:pt idx="3">
                  <c:v>908.33333333333337</c:v>
                </c:pt>
                <c:pt idx="4">
                  <c:v>900</c:v>
                </c:pt>
                <c:pt idx="5">
                  <c:v>895.58823529411757</c:v>
                </c:pt>
                <c:pt idx="6">
                  <c:v>894.44444444444446</c:v>
                </c:pt>
                <c:pt idx="7">
                  <c:v>896.05263157894728</c:v>
                </c:pt>
                <c:pt idx="8">
                  <c:v>900</c:v>
                </c:pt>
                <c:pt idx="9">
                  <c:v>905.95238095238096</c:v>
                </c:pt>
                <c:pt idx="10">
                  <c:v>913.63636363636363</c:v>
                </c:pt>
                <c:pt idx="11">
                  <c:v>922.82608695652175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1-4C70-89C1-95FA2F1E8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181888"/>
        <c:axId val="1"/>
      </c:lineChart>
      <c:catAx>
        <c:axId val="42018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Order quantity</a:t>
                </a:r>
              </a:p>
            </c:rich>
          </c:tx>
          <c:layout>
            <c:manualLayout>
              <c:xMode val="edge"/>
              <c:yMode val="edge"/>
              <c:x val="0.43937007874015749"/>
              <c:y val="0.907091491314196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Total cost</a:t>
                </a:r>
              </a:p>
            </c:rich>
          </c:tx>
          <c:layout>
            <c:manualLayout>
              <c:xMode val="edge"/>
              <c:yMode val="edge"/>
              <c:x val="2.5196850393700787E-2"/>
              <c:y val="0.41564843514365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01818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4312865143745379"/>
          <c:y val="0.21914961919138298"/>
          <c:w val="0.14880231543062661"/>
          <c:h val="5.531932134928114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04878048780488"/>
          <c:y val="6.6157925209539031E-2"/>
          <c:w val="0.78810975609756095"/>
          <c:h val="0.79389510251446826"/>
        </c:manualLayout>
      </c:layout>
      <c:lineChart>
        <c:grouping val="standard"/>
        <c:varyColors val="0"/>
        <c:ser>
          <c:idx val="0"/>
          <c:order val="0"/>
          <c:tx>
            <c:strRef>
              <c:f>'QTY Discount'!$B$9</c:f>
              <c:strCache>
                <c:ptCount val="1"/>
                <c:pt idx="0">
                  <c:v>TAC 0%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'QTY Discount'!$A$10:$A$59</c:f>
              <c:numCache>
                <c:formatCode>General</c:formatCode>
                <c:ptCount val="5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</c:numCache>
            </c:numRef>
          </c:cat>
          <c:val>
            <c:numRef>
              <c:f>'QTY Discount'!$B$10:$B$59</c:f>
              <c:numCache>
                <c:formatCode>0.0</c:formatCode>
                <c:ptCount val="50"/>
                <c:pt idx="0">
                  <c:v>999</c:v>
                </c:pt>
                <c:pt idx="1">
                  <c:v>456.8</c:v>
                </c:pt>
                <c:pt idx="2">
                  <c:v>258.39999999999998</c:v>
                </c:pt>
                <c:pt idx="3">
                  <c:v>205.6</c:v>
                </c:pt>
                <c:pt idx="4">
                  <c:v>189.2</c:v>
                </c:pt>
                <c:pt idx="5">
                  <c:v>187.36</c:v>
                </c:pt>
                <c:pt idx="6">
                  <c:v>192.8</c:v>
                </c:pt>
                <c:pt idx="7">
                  <c:v>202.4</c:v>
                </c:pt>
                <c:pt idx="8">
                  <c:v>214.6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A-458B-80D4-0A014F4E9570}"/>
            </c:ext>
          </c:extLst>
        </c:ser>
        <c:ser>
          <c:idx val="1"/>
          <c:order val="1"/>
          <c:tx>
            <c:strRef>
              <c:f>'QTY Discount'!$C$9</c:f>
              <c:strCache>
                <c:ptCount val="1"/>
                <c:pt idx="0">
                  <c:v>TAC 7%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'QTY Discount'!$A$10:$A$59</c:f>
              <c:numCache>
                <c:formatCode>General</c:formatCode>
                <c:ptCount val="5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</c:numCache>
            </c:numRef>
          </c:cat>
          <c:val>
            <c:numRef>
              <c:f>'QTY Discount'!$C$10:$C$59</c:f>
              <c:numCache>
                <c:formatCode>0.0</c:formatCode>
                <c:ptCount val="50"/>
                <c:pt idx="8">
                  <c:v>203.4</c:v>
                </c:pt>
                <c:pt idx="9">
                  <c:v>215.93333333333337</c:v>
                </c:pt>
                <c:pt idx="10">
                  <c:v>229.68000000000004</c:v>
                </c:pt>
                <c:pt idx="11">
                  <c:v>244.30909090909094</c:v>
                </c:pt>
                <c:pt idx="12">
                  <c:v>259.60000000000002</c:v>
                </c:pt>
                <c:pt idx="13">
                  <c:v>275.40000000000003</c:v>
                </c:pt>
                <c:pt idx="14">
                  <c:v>291.60000000000002</c:v>
                </c:pt>
                <c:pt idx="15">
                  <c:v>308.12000000000006</c:v>
                </c:pt>
                <c:pt idx="16">
                  <c:v>324.90000000000003</c:v>
                </c:pt>
                <c:pt idx="17">
                  <c:v>341.89411764705886</c:v>
                </c:pt>
                <c:pt idx="18">
                  <c:v>359.06666666666672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EA-458B-80D4-0A014F4E9570}"/>
            </c:ext>
          </c:extLst>
        </c:ser>
        <c:ser>
          <c:idx val="2"/>
          <c:order val="2"/>
          <c:tx>
            <c:strRef>
              <c:f>'QTY Discount'!$D$9</c:f>
              <c:strCache>
                <c:ptCount val="1"/>
                <c:pt idx="0">
                  <c:v>TAC 10%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'QTY Discount'!$A$10:$A$59</c:f>
              <c:numCache>
                <c:formatCode>General</c:formatCode>
                <c:ptCount val="5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</c:numCache>
            </c:numRef>
          </c:cat>
          <c:val>
            <c:numRef>
              <c:f>'QTY Discount'!$D$10:$D$59</c:f>
              <c:numCache>
                <c:formatCode>0.0</c:formatCode>
                <c:ptCount val="50"/>
                <c:pt idx="18">
                  <c:v>348.26666666666671</c:v>
                </c:pt>
                <c:pt idx="19">
                  <c:v>364.98947368421057</c:v>
                </c:pt>
                <c:pt idx="20">
                  <c:v>381.84000000000003</c:v>
                </c:pt>
                <c:pt idx="21">
                  <c:v>398.80000000000007</c:v>
                </c:pt>
                <c:pt idx="22">
                  <c:v>415.85454545454553</c:v>
                </c:pt>
                <c:pt idx="23">
                  <c:v>432.99130434782614</c:v>
                </c:pt>
                <c:pt idx="24">
                  <c:v>450.20000000000005</c:v>
                </c:pt>
                <c:pt idx="25">
                  <c:v>467.47200000000004</c:v>
                </c:pt>
                <c:pt idx="26">
                  <c:v>484.80000000000007</c:v>
                </c:pt>
                <c:pt idx="27">
                  <c:v>502.17777777777781</c:v>
                </c:pt>
                <c:pt idx="28">
                  <c:v>519.6</c:v>
                </c:pt>
                <c:pt idx="29">
                  <c:v>537.06206896551737</c:v>
                </c:pt>
                <c:pt idx="30">
                  <c:v>554.56000000000006</c:v>
                </c:pt>
                <c:pt idx="31">
                  <c:v>572.09032258064531</c:v>
                </c:pt>
                <c:pt idx="32">
                  <c:v>589.65000000000009</c:v>
                </c:pt>
                <c:pt idx="33">
                  <c:v>607.23636363636376</c:v>
                </c:pt>
                <c:pt idx="34">
                  <c:v>624.84705882352955</c:v>
                </c:pt>
                <c:pt idx="35">
                  <c:v>642.48000000000013</c:v>
                </c:pt>
                <c:pt idx="36">
                  <c:v>660.13333333333344</c:v>
                </c:pt>
                <c:pt idx="37">
                  <c:v>677.80540540540551</c:v>
                </c:pt>
                <c:pt idx="38">
                  <c:v>695.49473684210534</c:v>
                </c:pt>
                <c:pt idx="39">
                  <c:v>713.20000000000016</c:v>
                </c:pt>
                <c:pt idx="40">
                  <c:v>730.92000000000007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EA-458B-80D4-0A014F4E9570}"/>
            </c:ext>
          </c:extLst>
        </c:ser>
        <c:ser>
          <c:idx val="3"/>
          <c:order val="3"/>
          <c:tx>
            <c:strRef>
              <c:f>'QTY Discount'!$E$9</c:f>
              <c:strCache>
                <c:ptCount val="1"/>
                <c:pt idx="0">
                  <c:v>TAC 15%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'QTY Discount'!$A$10:$A$59</c:f>
              <c:numCache>
                <c:formatCode>General</c:formatCode>
                <c:ptCount val="5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</c:numCache>
            </c:numRef>
          </c:cat>
          <c:val>
            <c:numRef>
              <c:f>'QTY Discount'!$E$10:$E$59</c:f>
              <c:numCache>
                <c:formatCode>0.0</c:formatCode>
                <c:ptCount val="50"/>
                <c:pt idx="40">
                  <c:v>690.92</c:v>
                </c:pt>
                <c:pt idx="41">
                  <c:v>707.65365853658534</c:v>
                </c:pt>
                <c:pt idx="42">
                  <c:v>724.4</c:v>
                </c:pt>
                <c:pt idx="43">
                  <c:v>741.15813953488373</c:v>
                </c:pt>
                <c:pt idx="44">
                  <c:v>757.92727272727268</c:v>
                </c:pt>
                <c:pt idx="45">
                  <c:v>774.70666666666671</c:v>
                </c:pt>
                <c:pt idx="46">
                  <c:v>791.49565217391307</c:v>
                </c:pt>
                <c:pt idx="47">
                  <c:v>808.29361702127676</c:v>
                </c:pt>
                <c:pt idx="48">
                  <c:v>825.10000000000014</c:v>
                </c:pt>
                <c:pt idx="49">
                  <c:v>841.91428571428582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EA-458B-80D4-0A014F4E9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370400"/>
        <c:axId val="1"/>
      </c:lineChart>
      <c:catAx>
        <c:axId val="42337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0"/>
        <c:tickMarkSkip val="1"/>
        <c:noMultiLvlLbl val="0"/>
      </c:catAx>
      <c:valAx>
        <c:axId val="1"/>
        <c:scaling>
          <c:orientation val="minMax"/>
          <c:max val="800"/>
          <c:min val="100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3704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7561035592018561"/>
          <c:y val="0.5587589198037779"/>
          <c:w val="0.13780502165038341"/>
          <c:h val="0.2350335138857160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67019827651824"/>
          <c:y val="6.3380426983446536E-2"/>
          <c:w val="0.71973582565011152"/>
          <c:h val="0.80047131856871367"/>
        </c:manualLayout>
      </c:layout>
      <c:lineChart>
        <c:grouping val="standard"/>
        <c:varyColors val="0"/>
        <c:ser>
          <c:idx val="1"/>
          <c:order val="0"/>
          <c:tx>
            <c:strRef>
              <c:f>'QTY Discount'!$B$9</c:f>
              <c:strCache>
                <c:ptCount val="1"/>
                <c:pt idx="0">
                  <c:v>TAC 0%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'QTY Discount'!$A$10:$A$59</c:f>
              <c:numCache>
                <c:formatCode>General</c:formatCode>
                <c:ptCount val="5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</c:numCache>
            </c:numRef>
          </c:cat>
          <c:val>
            <c:numRef>
              <c:f>'QTY Discount'!$B$10:$B$59</c:f>
              <c:numCache>
                <c:formatCode>0.0</c:formatCode>
                <c:ptCount val="50"/>
                <c:pt idx="0">
                  <c:v>999</c:v>
                </c:pt>
                <c:pt idx="1">
                  <c:v>456.8</c:v>
                </c:pt>
                <c:pt idx="2">
                  <c:v>258.39999999999998</c:v>
                </c:pt>
                <c:pt idx="3">
                  <c:v>205.6</c:v>
                </c:pt>
                <c:pt idx="4">
                  <c:v>189.2</c:v>
                </c:pt>
                <c:pt idx="5">
                  <c:v>187.36</c:v>
                </c:pt>
                <c:pt idx="6">
                  <c:v>192.8</c:v>
                </c:pt>
                <c:pt idx="7">
                  <c:v>202.4</c:v>
                </c:pt>
                <c:pt idx="8">
                  <c:v>214.6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F7-4419-A168-349FEE1817BF}"/>
            </c:ext>
          </c:extLst>
        </c:ser>
        <c:ser>
          <c:idx val="0"/>
          <c:order val="1"/>
          <c:tx>
            <c:strRef>
              <c:f>'QTY Discount'!$C$9</c:f>
              <c:strCache>
                <c:ptCount val="1"/>
                <c:pt idx="0">
                  <c:v>TAC 7%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'QTY Discount'!$A$10:$A$59</c:f>
              <c:numCache>
                <c:formatCode>General</c:formatCode>
                <c:ptCount val="5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</c:numCache>
            </c:numRef>
          </c:cat>
          <c:val>
            <c:numRef>
              <c:f>'QTY Discount'!$C$10:$C$59</c:f>
              <c:numCache>
                <c:formatCode>0.0</c:formatCode>
                <c:ptCount val="50"/>
                <c:pt idx="8">
                  <c:v>203.4</c:v>
                </c:pt>
                <c:pt idx="9">
                  <c:v>215.93333333333337</c:v>
                </c:pt>
                <c:pt idx="10">
                  <c:v>229.68000000000004</c:v>
                </c:pt>
                <c:pt idx="11">
                  <c:v>244.30909090909094</c:v>
                </c:pt>
                <c:pt idx="12">
                  <c:v>259.60000000000002</c:v>
                </c:pt>
                <c:pt idx="13">
                  <c:v>275.40000000000003</c:v>
                </c:pt>
                <c:pt idx="14">
                  <c:v>291.60000000000002</c:v>
                </c:pt>
                <c:pt idx="15">
                  <c:v>308.12000000000006</c:v>
                </c:pt>
                <c:pt idx="16">
                  <c:v>324.90000000000003</c:v>
                </c:pt>
                <c:pt idx="17">
                  <c:v>341.89411764705886</c:v>
                </c:pt>
                <c:pt idx="18">
                  <c:v>359.06666666666672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F7-4419-A168-349FEE1817BF}"/>
            </c:ext>
          </c:extLst>
        </c:ser>
        <c:ser>
          <c:idx val="6"/>
          <c:order val="2"/>
          <c:tx>
            <c:strRef>
              <c:f>'QTY Discount'!$D$9</c:f>
              <c:strCache>
                <c:ptCount val="1"/>
                <c:pt idx="0">
                  <c:v>TAC 10%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'QTY Discount'!$A$10:$A$59</c:f>
              <c:numCache>
                <c:formatCode>General</c:formatCode>
                <c:ptCount val="5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</c:numCache>
            </c:numRef>
          </c:cat>
          <c:val>
            <c:numRef>
              <c:f>'QTY Discount'!$D$10:$D$59</c:f>
              <c:numCache>
                <c:formatCode>0.0</c:formatCode>
                <c:ptCount val="50"/>
                <c:pt idx="18">
                  <c:v>348.26666666666671</c:v>
                </c:pt>
                <c:pt idx="19">
                  <c:v>364.98947368421057</c:v>
                </c:pt>
                <c:pt idx="20">
                  <c:v>381.84000000000003</c:v>
                </c:pt>
                <c:pt idx="21">
                  <c:v>398.80000000000007</c:v>
                </c:pt>
                <c:pt idx="22">
                  <c:v>415.85454545454553</c:v>
                </c:pt>
                <c:pt idx="23">
                  <c:v>432.99130434782614</c:v>
                </c:pt>
                <c:pt idx="24">
                  <c:v>450.20000000000005</c:v>
                </c:pt>
                <c:pt idx="25">
                  <c:v>467.47200000000004</c:v>
                </c:pt>
                <c:pt idx="26">
                  <c:v>484.80000000000007</c:v>
                </c:pt>
                <c:pt idx="27">
                  <c:v>502.17777777777781</c:v>
                </c:pt>
                <c:pt idx="28">
                  <c:v>519.6</c:v>
                </c:pt>
                <c:pt idx="29">
                  <c:v>537.06206896551737</c:v>
                </c:pt>
                <c:pt idx="30">
                  <c:v>554.56000000000006</c:v>
                </c:pt>
                <c:pt idx="31">
                  <c:v>572.09032258064531</c:v>
                </c:pt>
                <c:pt idx="32">
                  <c:v>589.65000000000009</c:v>
                </c:pt>
                <c:pt idx="33">
                  <c:v>607.23636363636376</c:v>
                </c:pt>
                <c:pt idx="34">
                  <c:v>624.84705882352955</c:v>
                </c:pt>
                <c:pt idx="35">
                  <c:v>642.48000000000013</c:v>
                </c:pt>
                <c:pt idx="36">
                  <c:v>660.13333333333344</c:v>
                </c:pt>
                <c:pt idx="37">
                  <c:v>677.80540540540551</c:v>
                </c:pt>
                <c:pt idx="38">
                  <c:v>695.49473684210534</c:v>
                </c:pt>
                <c:pt idx="39">
                  <c:v>713.20000000000016</c:v>
                </c:pt>
                <c:pt idx="40">
                  <c:v>730.92000000000007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F7-4419-A168-349FEE1817BF}"/>
            </c:ext>
          </c:extLst>
        </c:ser>
        <c:ser>
          <c:idx val="7"/>
          <c:order val="3"/>
          <c:tx>
            <c:strRef>
              <c:f>'QTY Discount'!$E$9</c:f>
              <c:strCache>
                <c:ptCount val="1"/>
                <c:pt idx="0">
                  <c:v>TAC 15%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'QTY Discount'!$A$10:$A$59</c:f>
              <c:numCache>
                <c:formatCode>General</c:formatCode>
                <c:ptCount val="5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</c:numCache>
            </c:numRef>
          </c:cat>
          <c:val>
            <c:numRef>
              <c:f>'QTY Discount'!$E$10:$E$59</c:f>
              <c:numCache>
                <c:formatCode>0.0</c:formatCode>
                <c:ptCount val="50"/>
                <c:pt idx="40">
                  <c:v>690.92</c:v>
                </c:pt>
                <c:pt idx="41">
                  <c:v>707.65365853658534</c:v>
                </c:pt>
                <c:pt idx="42">
                  <c:v>724.4</c:v>
                </c:pt>
                <c:pt idx="43">
                  <c:v>741.15813953488373</c:v>
                </c:pt>
                <c:pt idx="44">
                  <c:v>757.92727272727268</c:v>
                </c:pt>
                <c:pt idx="45">
                  <c:v>774.70666666666671</c:v>
                </c:pt>
                <c:pt idx="46">
                  <c:v>791.49565217391307</c:v>
                </c:pt>
                <c:pt idx="47">
                  <c:v>808.29361702127676</c:v>
                </c:pt>
                <c:pt idx="48">
                  <c:v>825.10000000000014</c:v>
                </c:pt>
                <c:pt idx="49">
                  <c:v>841.91428571428582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F7-4419-A168-349FEE181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68104"/>
        <c:axId val="1"/>
      </c:lineChart>
      <c:lineChart>
        <c:grouping val="standard"/>
        <c:varyColors val="0"/>
        <c:ser>
          <c:idx val="2"/>
          <c:order val="4"/>
          <c:tx>
            <c:strRef>
              <c:f>'QTY Discount'!$F$9</c:f>
              <c:strCache>
                <c:ptCount val="1"/>
                <c:pt idx="0">
                  <c:v>Profit 0%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'QTY Discount'!$F$10:$F$59</c:f>
              <c:numCache>
                <c:formatCode>General</c:formatCode>
                <c:ptCount val="50"/>
                <c:pt idx="0">
                  <c:v>1239.5999999999999</c:v>
                </c:pt>
                <c:pt idx="1">
                  <c:v>1781.8</c:v>
                </c:pt>
                <c:pt idx="2">
                  <c:v>1980.1999999999998</c:v>
                </c:pt>
                <c:pt idx="3">
                  <c:v>2033</c:v>
                </c:pt>
                <c:pt idx="4">
                  <c:v>2049.4</c:v>
                </c:pt>
                <c:pt idx="5">
                  <c:v>2051.2399999999998</c:v>
                </c:pt>
                <c:pt idx="6">
                  <c:v>2045.8</c:v>
                </c:pt>
                <c:pt idx="7">
                  <c:v>2036.1999999999998</c:v>
                </c:pt>
                <c:pt idx="8">
                  <c:v>2024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4F7-4419-A168-349FEE1817BF}"/>
            </c:ext>
          </c:extLst>
        </c:ser>
        <c:ser>
          <c:idx val="3"/>
          <c:order val="5"/>
          <c:tx>
            <c:strRef>
              <c:f>'QTY Discount'!$G$9</c:f>
              <c:strCache>
                <c:ptCount val="1"/>
                <c:pt idx="0">
                  <c:v>Profit 7%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'QTY Discount'!$G$10:$G$59</c:f>
              <c:numCache>
                <c:formatCode>General</c:formatCode>
                <c:ptCount val="50"/>
                <c:pt idx="8">
                  <c:v>2279.8079999999995</c:v>
                </c:pt>
                <c:pt idx="9">
                  <c:v>2267.2746666666662</c:v>
                </c:pt>
                <c:pt idx="10">
                  <c:v>2253.5279999999998</c:v>
                </c:pt>
                <c:pt idx="11">
                  <c:v>2238.8989090909085</c:v>
                </c:pt>
                <c:pt idx="12">
                  <c:v>2223.6079999999997</c:v>
                </c:pt>
                <c:pt idx="13">
                  <c:v>2207.8079999999995</c:v>
                </c:pt>
                <c:pt idx="14">
                  <c:v>2191.6079999999997</c:v>
                </c:pt>
                <c:pt idx="15">
                  <c:v>2175.0879999999997</c:v>
                </c:pt>
                <c:pt idx="16">
                  <c:v>2158.3079999999995</c:v>
                </c:pt>
                <c:pt idx="17">
                  <c:v>2141.3138823529407</c:v>
                </c:pt>
                <c:pt idx="18">
                  <c:v>2124.141333333333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4F7-4419-A168-349FEE1817BF}"/>
            </c:ext>
          </c:extLst>
        </c:ser>
        <c:ser>
          <c:idx val="4"/>
          <c:order val="6"/>
          <c:tx>
            <c:strRef>
              <c:f>'QTY Discount'!$H$9</c:f>
              <c:strCache>
                <c:ptCount val="1"/>
                <c:pt idx="0">
                  <c:v>Profit 10%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'QTY Discount'!$H$10:$H$59</c:f>
              <c:numCache>
                <c:formatCode>General</c:formatCode>
                <c:ptCount val="50"/>
                <c:pt idx="18">
                  <c:v>2239.7733333333326</c:v>
                </c:pt>
                <c:pt idx="19">
                  <c:v>2223.0505263157888</c:v>
                </c:pt>
                <c:pt idx="20">
                  <c:v>2206.1999999999994</c:v>
                </c:pt>
                <c:pt idx="21">
                  <c:v>2189.2399999999993</c:v>
                </c:pt>
                <c:pt idx="22">
                  <c:v>2172.1854545454539</c:v>
                </c:pt>
                <c:pt idx="23">
                  <c:v>2155.0486956521736</c:v>
                </c:pt>
                <c:pt idx="24">
                  <c:v>2137.8399999999992</c:v>
                </c:pt>
                <c:pt idx="25">
                  <c:v>2120.5679999999993</c:v>
                </c:pt>
                <c:pt idx="26">
                  <c:v>2103.2399999999993</c:v>
                </c:pt>
                <c:pt idx="27">
                  <c:v>2085.8622222222216</c:v>
                </c:pt>
                <c:pt idx="28">
                  <c:v>2068.4399999999996</c:v>
                </c:pt>
                <c:pt idx="29">
                  <c:v>2050.977931034482</c:v>
                </c:pt>
                <c:pt idx="30">
                  <c:v>2033.4799999999996</c:v>
                </c:pt>
                <c:pt idx="31">
                  <c:v>2015.9496774193542</c:v>
                </c:pt>
                <c:pt idx="32">
                  <c:v>1998.3899999999994</c:v>
                </c:pt>
                <c:pt idx="33">
                  <c:v>1980.8036363636356</c:v>
                </c:pt>
                <c:pt idx="34">
                  <c:v>1963.19294117647</c:v>
                </c:pt>
                <c:pt idx="35">
                  <c:v>1945.5599999999995</c:v>
                </c:pt>
                <c:pt idx="36">
                  <c:v>1927.9066666666661</c:v>
                </c:pt>
                <c:pt idx="37">
                  <c:v>1910.234594594594</c:v>
                </c:pt>
                <c:pt idx="38">
                  <c:v>1892.5452631578942</c:v>
                </c:pt>
                <c:pt idx="39">
                  <c:v>1874.8399999999992</c:v>
                </c:pt>
                <c:pt idx="40">
                  <c:v>1857.1199999999994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4F7-4419-A168-349FEE1817BF}"/>
            </c:ext>
          </c:extLst>
        </c:ser>
        <c:ser>
          <c:idx val="5"/>
          <c:order val="7"/>
          <c:tx>
            <c:strRef>
              <c:f>'QTY Discount'!$I$9</c:f>
              <c:strCache>
                <c:ptCount val="1"/>
                <c:pt idx="0">
                  <c:v>Profit 15%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'QTY Discount'!$I$10:$I$59</c:f>
              <c:numCache>
                <c:formatCode>General</c:formatCode>
                <c:ptCount val="50"/>
                <c:pt idx="40">
                  <c:v>2071.8399999999997</c:v>
                </c:pt>
                <c:pt idx="41">
                  <c:v>2055.1063414634145</c:v>
                </c:pt>
                <c:pt idx="42">
                  <c:v>2038.3599999999997</c:v>
                </c:pt>
                <c:pt idx="43">
                  <c:v>2021.601860465116</c:v>
                </c:pt>
                <c:pt idx="44">
                  <c:v>2004.832727272727</c:v>
                </c:pt>
                <c:pt idx="45">
                  <c:v>1988.0533333333331</c:v>
                </c:pt>
                <c:pt idx="46">
                  <c:v>1971.2643478260866</c:v>
                </c:pt>
                <c:pt idx="47">
                  <c:v>1954.466382978723</c:v>
                </c:pt>
                <c:pt idx="48">
                  <c:v>1937.6599999999996</c:v>
                </c:pt>
                <c:pt idx="49">
                  <c:v>1920.8457142857139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4F7-4419-A168-349FEE181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4233681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5"/>
        <c:tickMarkSkip val="5"/>
        <c:noMultiLvlLbl val="0"/>
      </c:catAx>
      <c:valAx>
        <c:axId val="1"/>
        <c:scaling>
          <c:orientation val="minMax"/>
          <c:max val="800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368104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3262701889891104"/>
          <c:y val="0.42244971628567796"/>
          <c:w val="0.16578276176596202"/>
          <c:h val="0.4306129958274301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 horizontalDpi="1200" verticalDpi="12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807720</xdr:colOff>
      <xdr:row>2</xdr:row>
      <xdr:rowOff>68580</xdr:rowOff>
    </xdr:from>
    <xdr:to>
      <xdr:col>8</xdr:col>
      <xdr:colOff>441960</xdr:colOff>
      <xdr:row>19</xdr:row>
      <xdr:rowOff>60960</xdr:rowOff>
    </xdr:to>
    <xdr:graphicFrame macro="">
      <xdr:nvGraphicFramePr>
        <xdr:cNvPr id="614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0.45064</cdr:x>
      <cdr:y>0.91291</cdr:y>
    </cdr:from>
    <cdr:to>
      <cdr:x>0.5856</cdr:x>
      <cdr:y>0.98104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70222" y="2594735"/>
          <a:ext cx="649922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Arial"/>
              <a:cs typeface="Arial"/>
            </a:rPr>
            <a:t>Batch Size</a:t>
          </a:r>
        </a:p>
      </cdr:txBody>
    </cdr:sp>
  </cdr:relSizeAnchor>
  <cdr:relSizeAnchor xmlns:cdr="http://schemas.openxmlformats.org/drawingml/2006/chartDrawing">
    <cdr:from>
      <cdr:x>0.01428</cdr:x>
      <cdr:y>0.3804</cdr:y>
    </cdr:from>
    <cdr:to>
      <cdr:x>0.05257</cdr:x>
      <cdr:y>0.55709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8777" y="1081200"/>
          <a:ext cx="184409" cy="50218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="vert270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Arial"/>
              <a:cs typeface="Arial"/>
            </a:rPr>
            <a:t>Cost ($)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388620</xdr:colOff>
      <xdr:row>0</xdr:row>
      <xdr:rowOff>49530</xdr:rowOff>
    </xdr:from>
    <xdr:to>
      <xdr:col>3</xdr:col>
      <xdr:colOff>361959</xdr:colOff>
      <xdr:row>2</xdr:row>
      <xdr:rowOff>59055</xdr:rowOff>
    </xdr:to>
    <xdr:sp macro="" textlink="">
      <xdr:nvSpPr>
        <xdr:cNvPr id="23553" name="Text 1"/>
        <xdr:cNvSpPr>
          <a:spLocks noChangeArrowheads="1"/>
        </xdr:cNvSpPr>
      </xdr:nvSpPr>
      <xdr:spPr bwMode="auto">
        <a:xfrm>
          <a:off x="381000" y="57150"/>
          <a:ext cx="3048000" cy="40005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MetroBank </a:t>
          </a:r>
        </a:p>
      </xdr:txBody>
    </xdr:sp>
    <xdr:clientData/>
  </xdr:twoCellAnchor>
  <xdr:twoCellAnchor>
    <xdr:from>
      <xdr:col>6</xdr:col>
      <xdr:colOff>883920</xdr:colOff>
      <xdr:row>15</xdr:row>
      <xdr:rowOff>22860</xdr:rowOff>
    </xdr:from>
    <xdr:to>
      <xdr:col>14</xdr:col>
      <xdr:colOff>541020</xdr:colOff>
      <xdr:row>34</xdr:row>
      <xdr:rowOff>121920</xdr:rowOff>
    </xdr:to>
    <xdr:graphicFrame macro="">
      <xdr:nvGraphicFramePr>
        <xdr:cNvPr id="2356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17</xdr:row>
          <xdr:rowOff>38100</xdr:rowOff>
        </xdr:from>
        <xdr:to>
          <xdr:col>5</xdr:col>
          <xdr:colOff>38100</xdr:colOff>
          <xdr:row>26</xdr:row>
          <xdr:rowOff>121920</xdr:rowOff>
        </xdr:to>
        <xdr:sp macro="" textlink="">
          <xdr:nvSpPr>
            <xdr:cNvPr id="23554" name="Object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556260</xdr:colOff>
      <xdr:row>17</xdr:row>
      <xdr:rowOff>99060</xdr:rowOff>
    </xdr:from>
    <xdr:to>
      <xdr:col>15</xdr:col>
      <xdr:colOff>502920</xdr:colOff>
      <xdr:row>38</xdr:row>
      <xdr:rowOff>0</xdr:rowOff>
    </xdr:to>
    <xdr:graphicFrame macro="">
      <xdr:nvGraphicFramePr>
        <xdr:cNvPr id="512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213360</xdr:colOff>
      <xdr:row>1</xdr:row>
      <xdr:rowOff>91440</xdr:rowOff>
    </xdr:from>
    <xdr:to>
      <xdr:col>22</xdr:col>
      <xdr:colOff>365760</xdr:colOff>
      <xdr:row>21</xdr:row>
      <xdr:rowOff>22860</xdr:rowOff>
    </xdr:to>
    <xdr:graphicFrame macro="">
      <xdr:nvGraphicFramePr>
        <xdr:cNvPr id="820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22</xdr:row>
      <xdr:rowOff>60960</xdr:rowOff>
    </xdr:from>
    <xdr:to>
      <xdr:col>21</xdr:col>
      <xdr:colOff>487680</xdr:colOff>
      <xdr:row>43</xdr:row>
      <xdr:rowOff>114300</xdr:rowOff>
    </xdr:to>
    <xdr:graphicFrame macro="">
      <xdr:nvGraphicFramePr>
        <xdr:cNvPr id="820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0.01573</cdr:x>
      <cdr:y>0.37257</cdr:y>
    </cdr:from>
    <cdr:to>
      <cdr:x>0.0635</cdr:x>
      <cdr:y>0.63159</cdr:y>
    </cdr:to>
    <cdr:sp macro="" textlink="">
      <cdr:nvSpPr>
        <cdr:cNvPr id="921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3183" y="1406855"/>
          <a:ext cx="309674" cy="97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1">
            <a:defRPr sz="1000"/>
          </a:pPr>
          <a:r>
            <a:rPr lang="en-AU" sz="975" b="0" i="0" strike="noStrike">
              <a:solidFill>
                <a:srgbClr val="000000"/>
              </a:solidFill>
              <a:latin typeface="Arial"/>
              <a:cs typeface="Arial"/>
            </a:rPr>
            <a:t>TAC</a:t>
          </a:r>
        </a:p>
      </cdr:txBody>
    </cdr:sp>
  </cdr:relSizeAnchor>
  <cdr:relSizeAnchor xmlns:cdr="http://schemas.openxmlformats.org/drawingml/2006/chartDrawing">
    <cdr:from>
      <cdr:x>0.25282</cdr:x>
      <cdr:y>0.63256</cdr:y>
    </cdr:from>
    <cdr:to>
      <cdr:x>0.25282</cdr:x>
      <cdr:y>0.9303</cdr:y>
    </cdr:to>
    <cdr:sp macro="" textlink="">
      <cdr:nvSpPr>
        <cdr:cNvPr id="9218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1605335" y="2388006"/>
          <a:ext cx="0" cy="1112825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AU"/>
        </a:p>
      </cdr:txBody>
    </cdr:sp>
  </cdr:relSizeAnchor>
  <cdr:relSizeAnchor xmlns:cdr="http://schemas.openxmlformats.org/drawingml/2006/chartDrawing">
    <cdr:from>
      <cdr:x>0.41556</cdr:x>
      <cdr:y>0.38671</cdr:y>
    </cdr:from>
    <cdr:to>
      <cdr:x>0.41556</cdr:x>
      <cdr:y>0.93128</cdr:y>
    </cdr:to>
    <cdr:sp macro="" textlink="">
      <cdr:nvSpPr>
        <cdr:cNvPr id="9219" name="Line 3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14473" y="1460805"/>
          <a:ext cx="0" cy="2044598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AU"/>
        </a:p>
      </cdr:txBody>
    </cdr:sp>
  </cdr:relSizeAnchor>
  <cdr:relSizeAnchor xmlns:cdr="http://schemas.openxmlformats.org/drawingml/2006/chartDrawing">
    <cdr:from>
      <cdr:x>0.77008</cdr:x>
      <cdr:y>0.04119</cdr:y>
    </cdr:from>
    <cdr:to>
      <cdr:x>0.77722</cdr:x>
      <cdr:y>0.93128</cdr:y>
    </cdr:to>
    <cdr:sp macro="" textlink="">
      <cdr:nvSpPr>
        <cdr:cNvPr id="9220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4820710" y="156870"/>
          <a:ext cx="44680" cy="3348533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AU"/>
        </a:p>
      </cdr:txBody>
    </cdr:sp>
  </cdr:relSizeAnchor>
  <cdr:relSizeAnchor xmlns:cdr="http://schemas.openxmlformats.org/drawingml/2006/chartDrawing">
    <cdr:from>
      <cdr:x>0.45987</cdr:x>
      <cdr:y>0.93055</cdr:y>
    </cdr:from>
    <cdr:to>
      <cdr:x>0.56943</cdr:x>
      <cdr:y>0.97708</cdr:y>
    </cdr:to>
    <cdr:sp macro="" textlink="">
      <cdr:nvSpPr>
        <cdr:cNvPr id="9221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90253" y="3502660"/>
          <a:ext cx="684056" cy="1682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1">
            <a:defRPr sz="1000"/>
          </a:pPr>
          <a:r>
            <a:rPr lang="en-AU" sz="975" b="0" i="0" strike="noStrike">
              <a:solidFill>
                <a:srgbClr val="000000"/>
              </a:solidFill>
              <a:latin typeface="Arial"/>
              <a:cs typeface="Arial"/>
            </a:rPr>
            <a:t>Batch Size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0.00828</cdr:x>
      <cdr:y>0.41259</cdr:y>
    </cdr:from>
    <cdr:to>
      <cdr:x>0.06188</cdr:x>
      <cdr:y>0.50904</cdr:y>
    </cdr:to>
    <cdr:sp macro="" textlink="">
      <cdr:nvSpPr>
        <cdr:cNvPr id="1638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683261"/>
          <a:ext cx="304109" cy="4021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Arial"/>
              <a:cs typeface="Arial"/>
            </a:rPr>
            <a:t>TAC</a:t>
          </a:r>
        </a:p>
      </cdr:txBody>
    </cdr:sp>
  </cdr:relSizeAnchor>
  <cdr:relSizeAnchor xmlns:cdr="http://schemas.openxmlformats.org/drawingml/2006/chartDrawing">
    <cdr:from>
      <cdr:x>0.91845</cdr:x>
      <cdr:y>0.41259</cdr:y>
    </cdr:from>
    <cdr:to>
      <cdr:x>0.97254</cdr:x>
      <cdr:y>0.53785</cdr:y>
    </cdr:to>
    <cdr:sp macro="" textlink="">
      <cdr:nvSpPr>
        <cdr:cNvPr id="1638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301285" y="1683261"/>
          <a:ext cx="301280" cy="5223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Arial"/>
              <a:cs typeface="Arial"/>
            </a:rPr>
            <a:t>Profit</a:t>
          </a:r>
        </a:p>
      </cdr:txBody>
    </cdr:sp>
  </cdr:relSizeAnchor>
  <cdr:relSizeAnchor xmlns:cdr="http://schemas.openxmlformats.org/drawingml/2006/chartDrawing">
    <cdr:from>
      <cdr:x>0.41518</cdr:x>
      <cdr:y>0.94094</cdr:y>
    </cdr:from>
    <cdr:to>
      <cdr:x>0.53148</cdr:x>
      <cdr:y>0.98829</cdr:y>
    </cdr:to>
    <cdr:sp macro="" textlink="">
      <cdr:nvSpPr>
        <cdr:cNvPr id="1638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98808" y="3846967"/>
          <a:ext cx="673284" cy="1757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Arial"/>
              <a:cs typeface="Arial"/>
            </a:rPr>
            <a:t>Order Size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0</xdr:row>
      <xdr:rowOff>57150</xdr:rowOff>
    </xdr:from>
    <xdr:to>
      <xdr:col>3</xdr:col>
      <xdr:colOff>510540</xdr:colOff>
      <xdr:row>2</xdr:row>
      <xdr:rowOff>66675</xdr:rowOff>
    </xdr:to>
    <xdr:sp macro="[1]!Toggle" textlink="">
      <xdr:nvSpPr>
        <xdr:cNvPr id="24577" name="Text 1"/>
        <xdr:cNvSpPr>
          <a:spLocks noChangeArrowheads="1"/>
        </xdr:cNvSpPr>
      </xdr:nvSpPr>
      <xdr:spPr bwMode="auto">
        <a:xfrm>
          <a:off x="472440" y="57150"/>
          <a:ext cx="2865120" cy="36004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MetroBank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staff\LOCALS~1\Temp\Temporary%20Directory%2011%20for%20For%20Mary.zip\For%20Mary\FIT2017\Lectures\Week%206%20Deterministic%20Inventory\Wk6NLPexamp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Purchasing Analysis"/>
      <sheetName val="Wk6NLPexample"/>
    </sheetNames>
    <definedNames>
      <definedName name="Toggle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7"/>
  <sheetViews>
    <sheetView tabSelected="1" workbookViewId="0"/>
  </sheetViews>
  <sheetFormatPr defaultColWidth="18.88671875" defaultRowHeight="13.2" x14ac:dyDescent="0.25"/>
  <cols>
    <col min="1" max="1" width="18.5546875" style="3" customWidth="1"/>
    <col min="2" max="4" width="13.44140625" style="3" customWidth="1"/>
    <col min="5" max="16384" width="18.88671875" style="3"/>
  </cols>
  <sheetData>
    <row r="1" spans="1:4" x14ac:dyDescent="0.25">
      <c r="A1" s="3" t="s">
        <v>19</v>
      </c>
      <c r="B1" s="3">
        <v>100</v>
      </c>
    </row>
    <row r="2" spans="1:4" x14ac:dyDescent="0.25">
      <c r="A2" s="3" t="s">
        <v>20</v>
      </c>
      <c r="B2" s="3">
        <v>50</v>
      </c>
    </row>
    <row r="3" spans="1:4" x14ac:dyDescent="0.25">
      <c r="A3" s="5" t="s">
        <v>24</v>
      </c>
      <c r="B3" s="3">
        <v>100</v>
      </c>
    </row>
    <row r="6" spans="1:4" x14ac:dyDescent="0.25">
      <c r="A6" s="3" t="s">
        <v>21</v>
      </c>
      <c r="B6" s="3" t="s">
        <v>20</v>
      </c>
      <c r="C6" s="3" t="s">
        <v>22</v>
      </c>
      <c r="D6" s="3" t="s">
        <v>23</v>
      </c>
    </row>
    <row r="7" spans="1:4" x14ac:dyDescent="0.25">
      <c r="A7" s="3">
        <v>0</v>
      </c>
      <c r="B7" s="4"/>
      <c r="C7" s="4"/>
      <c r="D7" s="4"/>
    </row>
    <row r="8" spans="1:4" x14ac:dyDescent="0.25">
      <c r="A8" s="3">
        <v>1</v>
      </c>
      <c r="B8" s="4">
        <f>$B$3/A8*$B$2</f>
        <v>5000</v>
      </c>
      <c r="C8" s="4">
        <f>A8/2*$B$1</f>
        <v>50</v>
      </c>
      <c r="D8" s="4">
        <f>B8+C8</f>
        <v>5050</v>
      </c>
    </row>
    <row r="9" spans="1:4" x14ac:dyDescent="0.25">
      <c r="A9" s="3">
        <v>2</v>
      </c>
      <c r="B9" s="4">
        <f t="shared" ref="B9:B57" si="0">$B$3/A9*$B$2</f>
        <v>2500</v>
      </c>
      <c r="C9" s="4">
        <f t="shared" ref="C9:C57" si="1">A9/2*$B$1</f>
        <v>100</v>
      </c>
      <c r="D9" s="4">
        <f t="shared" ref="D9:D57" si="2">B9+C9</f>
        <v>2600</v>
      </c>
    </row>
    <row r="10" spans="1:4" x14ac:dyDescent="0.25">
      <c r="A10" s="3">
        <f>A9+1</f>
        <v>3</v>
      </c>
      <c r="B10" s="4">
        <f t="shared" si="0"/>
        <v>1666.6666666666667</v>
      </c>
      <c r="C10" s="4">
        <f t="shared" si="1"/>
        <v>150</v>
      </c>
      <c r="D10" s="4">
        <f t="shared" si="2"/>
        <v>1816.6666666666667</v>
      </c>
    </row>
    <row r="11" spans="1:4" x14ac:dyDescent="0.25">
      <c r="A11" s="3">
        <f t="shared" ref="A11:A57" si="3">A10+1</f>
        <v>4</v>
      </c>
      <c r="B11" s="4">
        <f t="shared" si="0"/>
        <v>1250</v>
      </c>
      <c r="C11" s="4">
        <f t="shared" si="1"/>
        <v>200</v>
      </c>
      <c r="D11" s="4">
        <f t="shared" si="2"/>
        <v>1450</v>
      </c>
    </row>
    <row r="12" spans="1:4" x14ac:dyDescent="0.25">
      <c r="A12" s="3">
        <f t="shared" si="3"/>
        <v>5</v>
      </c>
      <c r="B12" s="4">
        <f t="shared" si="0"/>
        <v>1000</v>
      </c>
      <c r="C12" s="4">
        <f t="shared" si="1"/>
        <v>250</v>
      </c>
      <c r="D12" s="4">
        <f t="shared" si="2"/>
        <v>1250</v>
      </c>
    </row>
    <row r="13" spans="1:4" x14ac:dyDescent="0.25">
      <c r="A13" s="3">
        <f t="shared" si="3"/>
        <v>6</v>
      </c>
      <c r="B13" s="4">
        <f t="shared" si="0"/>
        <v>833.33333333333337</v>
      </c>
      <c r="C13" s="4">
        <f t="shared" si="1"/>
        <v>300</v>
      </c>
      <c r="D13" s="4">
        <f t="shared" si="2"/>
        <v>1133.3333333333335</v>
      </c>
    </row>
    <row r="14" spans="1:4" x14ac:dyDescent="0.25">
      <c r="A14" s="3">
        <f t="shared" si="3"/>
        <v>7</v>
      </c>
      <c r="B14" s="4">
        <f t="shared" si="0"/>
        <v>714.28571428571433</v>
      </c>
      <c r="C14" s="4">
        <f t="shared" si="1"/>
        <v>350</v>
      </c>
      <c r="D14" s="4">
        <f t="shared" si="2"/>
        <v>1064.2857142857142</v>
      </c>
    </row>
    <row r="15" spans="1:4" x14ac:dyDescent="0.25">
      <c r="A15" s="3">
        <f t="shared" si="3"/>
        <v>8</v>
      </c>
      <c r="B15" s="4">
        <f t="shared" si="0"/>
        <v>625</v>
      </c>
      <c r="C15" s="4">
        <f t="shared" si="1"/>
        <v>400</v>
      </c>
      <c r="D15" s="4">
        <f t="shared" si="2"/>
        <v>1025</v>
      </c>
    </row>
    <row r="16" spans="1:4" x14ac:dyDescent="0.25">
      <c r="A16" s="3">
        <f t="shared" si="3"/>
        <v>9</v>
      </c>
      <c r="B16" s="4">
        <f t="shared" si="0"/>
        <v>555.55555555555554</v>
      </c>
      <c r="C16" s="4">
        <f t="shared" si="1"/>
        <v>450</v>
      </c>
      <c r="D16" s="4">
        <f t="shared" si="2"/>
        <v>1005.5555555555555</v>
      </c>
    </row>
    <row r="17" spans="1:4" x14ac:dyDescent="0.25">
      <c r="A17" s="3">
        <f t="shared" si="3"/>
        <v>10</v>
      </c>
      <c r="B17" s="4">
        <f t="shared" si="0"/>
        <v>500</v>
      </c>
      <c r="C17" s="4">
        <f t="shared" si="1"/>
        <v>500</v>
      </c>
      <c r="D17" s="4">
        <f t="shared" si="2"/>
        <v>1000</v>
      </c>
    </row>
    <row r="18" spans="1:4" x14ac:dyDescent="0.25">
      <c r="A18" s="3">
        <f t="shared" si="3"/>
        <v>11</v>
      </c>
      <c r="B18" s="4">
        <f t="shared" si="0"/>
        <v>454.54545454545456</v>
      </c>
      <c r="C18" s="4">
        <f t="shared" si="1"/>
        <v>550</v>
      </c>
      <c r="D18" s="4">
        <f t="shared" si="2"/>
        <v>1004.5454545454545</v>
      </c>
    </row>
    <row r="19" spans="1:4" x14ac:dyDescent="0.25">
      <c r="A19" s="3">
        <f t="shared" si="3"/>
        <v>12</v>
      </c>
      <c r="B19" s="4">
        <f t="shared" si="0"/>
        <v>416.66666666666669</v>
      </c>
      <c r="C19" s="4">
        <f t="shared" si="1"/>
        <v>600</v>
      </c>
      <c r="D19" s="4">
        <f t="shared" si="2"/>
        <v>1016.6666666666667</v>
      </c>
    </row>
    <row r="20" spans="1:4" x14ac:dyDescent="0.25">
      <c r="A20" s="3">
        <f t="shared" si="3"/>
        <v>13</v>
      </c>
      <c r="B20" s="4">
        <f t="shared" si="0"/>
        <v>384.61538461538464</v>
      </c>
      <c r="C20" s="4">
        <f t="shared" si="1"/>
        <v>650</v>
      </c>
      <c r="D20" s="4">
        <f t="shared" si="2"/>
        <v>1034.6153846153848</v>
      </c>
    </row>
    <row r="21" spans="1:4" x14ac:dyDescent="0.25">
      <c r="A21" s="3">
        <f t="shared" si="3"/>
        <v>14</v>
      </c>
      <c r="B21" s="4">
        <f t="shared" si="0"/>
        <v>357.14285714285717</v>
      </c>
      <c r="C21" s="4">
        <f t="shared" si="1"/>
        <v>700</v>
      </c>
      <c r="D21" s="4">
        <f t="shared" si="2"/>
        <v>1057.1428571428571</v>
      </c>
    </row>
    <row r="22" spans="1:4" x14ac:dyDescent="0.25">
      <c r="A22" s="3">
        <f t="shared" si="3"/>
        <v>15</v>
      </c>
      <c r="B22" s="4">
        <f t="shared" si="0"/>
        <v>333.33333333333337</v>
      </c>
      <c r="C22" s="4">
        <f t="shared" si="1"/>
        <v>750</v>
      </c>
      <c r="D22" s="4">
        <f t="shared" si="2"/>
        <v>1083.3333333333335</v>
      </c>
    </row>
    <row r="23" spans="1:4" x14ac:dyDescent="0.25">
      <c r="A23" s="3">
        <f t="shared" si="3"/>
        <v>16</v>
      </c>
      <c r="B23" s="4">
        <f t="shared" si="0"/>
        <v>312.5</v>
      </c>
      <c r="C23" s="4">
        <f t="shared" si="1"/>
        <v>800</v>
      </c>
      <c r="D23" s="4">
        <f t="shared" si="2"/>
        <v>1112.5</v>
      </c>
    </row>
    <row r="24" spans="1:4" x14ac:dyDescent="0.25">
      <c r="A24" s="3">
        <f t="shared" si="3"/>
        <v>17</v>
      </c>
      <c r="B24" s="4">
        <f t="shared" si="0"/>
        <v>294.11764705882354</v>
      </c>
      <c r="C24" s="4">
        <f t="shared" si="1"/>
        <v>850</v>
      </c>
      <c r="D24" s="4">
        <f t="shared" si="2"/>
        <v>1144.1176470588234</v>
      </c>
    </row>
    <row r="25" spans="1:4" x14ac:dyDescent="0.25">
      <c r="A25" s="3">
        <f t="shared" si="3"/>
        <v>18</v>
      </c>
      <c r="B25" s="4">
        <f t="shared" si="0"/>
        <v>277.77777777777777</v>
      </c>
      <c r="C25" s="4">
        <f t="shared" si="1"/>
        <v>900</v>
      </c>
      <c r="D25" s="4">
        <f t="shared" si="2"/>
        <v>1177.7777777777778</v>
      </c>
    </row>
    <row r="26" spans="1:4" x14ac:dyDescent="0.25">
      <c r="A26" s="3">
        <f t="shared" si="3"/>
        <v>19</v>
      </c>
      <c r="B26" s="4">
        <f t="shared" si="0"/>
        <v>263.15789473684214</v>
      </c>
      <c r="C26" s="4">
        <f t="shared" si="1"/>
        <v>950</v>
      </c>
      <c r="D26" s="4">
        <f t="shared" si="2"/>
        <v>1213.1578947368421</v>
      </c>
    </row>
    <row r="27" spans="1:4" x14ac:dyDescent="0.25">
      <c r="A27" s="3">
        <f t="shared" si="3"/>
        <v>20</v>
      </c>
      <c r="B27" s="4">
        <f t="shared" si="0"/>
        <v>250</v>
      </c>
      <c r="C27" s="4">
        <f t="shared" si="1"/>
        <v>1000</v>
      </c>
      <c r="D27" s="4">
        <f t="shared" si="2"/>
        <v>1250</v>
      </c>
    </row>
    <row r="28" spans="1:4" x14ac:dyDescent="0.25">
      <c r="A28" s="3">
        <f t="shared" si="3"/>
        <v>21</v>
      </c>
      <c r="B28" s="4">
        <f t="shared" si="0"/>
        <v>238.0952380952381</v>
      </c>
      <c r="C28" s="4">
        <f t="shared" si="1"/>
        <v>1050</v>
      </c>
      <c r="D28" s="4">
        <f t="shared" si="2"/>
        <v>1288.0952380952381</v>
      </c>
    </row>
    <row r="29" spans="1:4" x14ac:dyDescent="0.25">
      <c r="A29" s="3">
        <f t="shared" si="3"/>
        <v>22</v>
      </c>
      <c r="B29" s="4">
        <f t="shared" si="0"/>
        <v>227.27272727272728</v>
      </c>
      <c r="C29" s="4">
        <f t="shared" si="1"/>
        <v>1100</v>
      </c>
      <c r="D29" s="4">
        <f t="shared" si="2"/>
        <v>1327.2727272727273</v>
      </c>
    </row>
    <row r="30" spans="1:4" x14ac:dyDescent="0.25">
      <c r="A30" s="3">
        <f t="shared" si="3"/>
        <v>23</v>
      </c>
      <c r="B30" s="4">
        <f t="shared" si="0"/>
        <v>217.39130434782606</v>
      </c>
      <c r="C30" s="4">
        <f t="shared" si="1"/>
        <v>1150</v>
      </c>
      <c r="D30" s="4">
        <f t="shared" si="2"/>
        <v>1367.391304347826</v>
      </c>
    </row>
    <row r="31" spans="1:4" x14ac:dyDescent="0.25">
      <c r="A31" s="3">
        <f t="shared" si="3"/>
        <v>24</v>
      </c>
      <c r="B31" s="4">
        <f t="shared" si="0"/>
        <v>208.33333333333334</v>
      </c>
      <c r="C31" s="4">
        <f t="shared" si="1"/>
        <v>1200</v>
      </c>
      <c r="D31" s="4">
        <f t="shared" si="2"/>
        <v>1408.3333333333333</v>
      </c>
    </row>
    <row r="32" spans="1:4" x14ac:dyDescent="0.25">
      <c r="A32" s="3">
        <f t="shared" si="3"/>
        <v>25</v>
      </c>
      <c r="B32" s="4">
        <f t="shared" si="0"/>
        <v>200</v>
      </c>
      <c r="C32" s="4">
        <f t="shared" si="1"/>
        <v>1250</v>
      </c>
      <c r="D32" s="4">
        <f t="shared" si="2"/>
        <v>1450</v>
      </c>
    </row>
    <row r="33" spans="1:4" x14ac:dyDescent="0.25">
      <c r="A33" s="3">
        <f t="shared" si="3"/>
        <v>26</v>
      </c>
      <c r="B33" s="4">
        <f t="shared" si="0"/>
        <v>192.30769230769232</v>
      </c>
      <c r="C33" s="4">
        <f t="shared" si="1"/>
        <v>1300</v>
      </c>
      <c r="D33" s="4">
        <f t="shared" si="2"/>
        <v>1492.3076923076924</v>
      </c>
    </row>
    <row r="34" spans="1:4" x14ac:dyDescent="0.25">
      <c r="A34" s="3">
        <f t="shared" si="3"/>
        <v>27</v>
      </c>
      <c r="B34" s="4">
        <f t="shared" si="0"/>
        <v>185.18518518518519</v>
      </c>
      <c r="C34" s="4">
        <f t="shared" si="1"/>
        <v>1350</v>
      </c>
      <c r="D34" s="4">
        <f t="shared" si="2"/>
        <v>1535.1851851851852</v>
      </c>
    </row>
    <row r="35" spans="1:4" x14ac:dyDescent="0.25">
      <c r="A35" s="3">
        <f t="shared" si="3"/>
        <v>28</v>
      </c>
      <c r="B35" s="4">
        <f t="shared" si="0"/>
        <v>178.57142857142858</v>
      </c>
      <c r="C35" s="4">
        <f t="shared" si="1"/>
        <v>1400</v>
      </c>
      <c r="D35" s="4">
        <f t="shared" si="2"/>
        <v>1578.5714285714287</v>
      </c>
    </row>
    <row r="36" spans="1:4" x14ac:dyDescent="0.25">
      <c r="A36" s="3">
        <f t="shared" si="3"/>
        <v>29</v>
      </c>
      <c r="B36" s="4">
        <f t="shared" si="0"/>
        <v>172.41379310344826</v>
      </c>
      <c r="C36" s="4">
        <f t="shared" si="1"/>
        <v>1450</v>
      </c>
      <c r="D36" s="4">
        <f t="shared" si="2"/>
        <v>1622.4137931034484</v>
      </c>
    </row>
    <row r="37" spans="1:4" x14ac:dyDescent="0.25">
      <c r="A37" s="3">
        <f t="shared" si="3"/>
        <v>30</v>
      </c>
      <c r="B37" s="4">
        <f t="shared" si="0"/>
        <v>166.66666666666669</v>
      </c>
      <c r="C37" s="4">
        <f t="shared" si="1"/>
        <v>1500</v>
      </c>
      <c r="D37" s="4">
        <f t="shared" si="2"/>
        <v>1666.6666666666667</v>
      </c>
    </row>
    <row r="38" spans="1:4" x14ac:dyDescent="0.25">
      <c r="A38" s="3">
        <f t="shared" si="3"/>
        <v>31</v>
      </c>
      <c r="B38" s="4">
        <f t="shared" si="0"/>
        <v>161.29032258064515</v>
      </c>
      <c r="C38" s="4">
        <f t="shared" si="1"/>
        <v>1550</v>
      </c>
      <c r="D38" s="4">
        <f t="shared" si="2"/>
        <v>1711.2903225806451</v>
      </c>
    </row>
    <row r="39" spans="1:4" x14ac:dyDescent="0.25">
      <c r="A39" s="3">
        <f t="shared" si="3"/>
        <v>32</v>
      </c>
      <c r="B39" s="4">
        <f t="shared" si="0"/>
        <v>156.25</v>
      </c>
      <c r="C39" s="4">
        <f t="shared" si="1"/>
        <v>1600</v>
      </c>
      <c r="D39" s="4">
        <f t="shared" si="2"/>
        <v>1756.25</v>
      </c>
    </row>
    <row r="40" spans="1:4" x14ac:dyDescent="0.25">
      <c r="A40" s="3">
        <f t="shared" si="3"/>
        <v>33</v>
      </c>
      <c r="B40" s="4">
        <f t="shared" si="0"/>
        <v>151.5151515151515</v>
      </c>
      <c r="C40" s="4">
        <f t="shared" si="1"/>
        <v>1650</v>
      </c>
      <c r="D40" s="4">
        <f t="shared" si="2"/>
        <v>1801.5151515151515</v>
      </c>
    </row>
    <row r="41" spans="1:4" x14ac:dyDescent="0.25">
      <c r="A41" s="3">
        <f t="shared" si="3"/>
        <v>34</v>
      </c>
      <c r="B41" s="4">
        <f t="shared" si="0"/>
        <v>147.05882352941177</v>
      </c>
      <c r="C41" s="4">
        <f t="shared" si="1"/>
        <v>1700</v>
      </c>
      <c r="D41" s="4">
        <f t="shared" si="2"/>
        <v>1847.0588235294117</v>
      </c>
    </row>
    <row r="42" spans="1:4" x14ac:dyDescent="0.25">
      <c r="A42" s="3">
        <f t="shared" si="3"/>
        <v>35</v>
      </c>
      <c r="B42" s="4">
        <f t="shared" si="0"/>
        <v>142.85714285714286</v>
      </c>
      <c r="C42" s="4">
        <f t="shared" si="1"/>
        <v>1750</v>
      </c>
      <c r="D42" s="4">
        <f t="shared" si="2"/>
        <v>1892.8571428571429</v>
      </c>
    </row>
    <row r="43" spans="1:4" x14ac:dyDescent="0.25">
      <c r="A43" s="3">
        <f t="shared" si="3"/>
        <v>36</v>
      </c>
      <c r="B43" s="4">
        <f t="shared" si="0"/>
        <v>138.88888888888889</v>
      </c>
      <c r="C43" s="4">
        <f t="shared" si="1"/>
        <v>1800</v>
      </c>
      <c r="D43" s="4">
        <f t="shared" si="2"/>
        <v>1938.8888888888889</v>
      </c>
    </row>
    <row r="44" spans="1:4" x14ac:dyDescent="0.25">
      <c r="A44" s="3">
        <f t="shared" si="3"/>
        <v>37</v>
      </c>
      <c r="B44" s="4">
        <f t="shared" si="0"/>
        <v>135.13513513513513</v>
      </c>
      <c r="C44" s="4">
        <f t="shared" si="1"/>
        <v>1850</v>
      </c>
      <c r="D44" s="4">
        <f t="shared" si="2"/>
        <v>1985.1351351351352</v>
      </c>
    </row>
    <row r="45" spans="1:4" x14ac:dyDescent="0.25">
      <c r="A45" s="3">
        <f t="shared" si="3"/>
        <v>38</v>
      </c>
      <c r="B45" s="4">
        <f t="shared" si="0"/>
        <v>131.57894736842107</v>
      </c>
      <c r="C45" s="4">
        <f t="shared" si="1"/>
        <v>1900</v>
      </c>
      <c r="D45" s="4">
        <f t="shared" si="2"/>
        <v>2031.578947368421</v>
      </c>
    </row>
    <row r="46" spans="1:4" x14ac:dyDescent="0.25">
      <c r="A46" s="3">
        <f t="shared" si="3"/>
        <v>39</v>
      </c>
      <c r="B46" s="4">
        <f t="shared" si="0"/>
        <v>128.2051282051282</v>
      </c>
      <c r="C46" s="4">
        <f t="shared" si="1"/>
        <v>1950</v>
      </c>
      <c r="D46" s="4">
        <f t="shared" si="2"/>
        <v>2078.2051282051284</v>
      </c>
    </row>
    <row r="47" spans="1:4" x14ac:dyDescent="0.25">
      <c r="A47" s="3">
        <f t="shared" si="3"/>
        <v>40</v>
      </c>
      <c r="B47" s="4">
        <f t="shared" si="0"/>
        <v>125</v>
      </c>
      <c r="C47" s="4">
        <f t="shared" si="1"/>
        <v>2000</v>
      </c>
      <c r="D47" s="4">
        <f t="shared" si="2"/>
        <v>2125</v>
      </c>
    </row>
    <row r="48" spans="1:4" x14ac:dyDescent="0.25">
      <c r="A48" s="3">
        <f t="shared" si="3"/>
        <v>41</v>
      </c>
      <c r="B48" s="4">
        <f t="shared" si="0"/>
        <v>121.95121951219512</v>
      </c>
      <c r="C48" s="4">
        <f t="shared" si="1"/>
        <v>2050</v>
      </c>
      <c r="D48" s="4">
        <f t="shared" si="2"/>
        <v>2171.9512195121952</v>
      </c>
    </row>
    <row r="49" spans="1:4" x14ac:dyDescent="0.25">
      <c r="A49" s="3">
        <f t="shared" si="3"/>
        <v>42</v>
      </c>
      <c r="B49" s="4">
        <f t="shared" si="0"/>
        <v>119.04761904761905</v>
      </c>
      <c r="C49" s="4">
        <f t="shared" si="1"/>
        <v>2100</v>
      </c>
      <c r="D49" s="4">
        <f t="shared" si="2"/>
        <v>2219.0476190476193</v>
      </c>
    </row>
    <row r="50" spans="1:4" x14ac:dyDescent="0.25">
      <c r="A50" s="3">
        <f t="shared" si="3"/>
        <v>43</v>
      </c>
      <c r="B50" s="4">
        <f t="shared" si="0"/>
        <v>116.27906976744187</v>
      </c>
      <c r="C50" s="4">
        <f t="shared" si="1"/>
        <v>2150</v>
      </c>
      <c r="D50" s="4">
        <f t="shared" si="2"/>
        <v>2266.2790697674418</v>
      </c>
    </row>
    <row r="51" spans="1:4" x14ac:dyDescent="0.25">
      <c r="A51" s="3">
        <f t="shared" si="3"/>
        <v>44</v>
      </c>
      <c r="B51" s="4">
        <f t="shared" si="0"/>
        <v>113.63636363636364</v>
      </c>
      <c r="C51" s="4">
        <f t="shared" si="1"/>
        <v>2200</v>
      </c>
      <c r="D51" s="4">
        <f t="shared" si="2"/>
        <v>2313.6363636363635</v>
      </c>
    </row>
    <row r="52" spans="1:4" x14ac:dyDescent="0.25">
      <c r="A52" s="3">
        <f t="shared" si="3"/>
        <v>45</v>
      </c>
      <c r="B52" s="4">
        <f t="shared" si="0"/>
        <v>111.11111111111111</v>
      </c>
      <c r="C52" s="4">
        <f t="shared" si="1"/>
        <v>2250</v>
      </c>
      <c r="D52" s="4">
        <f t="shared" si="2"/>
        <v>2361.1111111111113</v>
      </c>
    </row>
    <row r="53" spans="1:4" x14ac:dyDescent="0.25">
      <c r="A53" s="3">
        <f t="shared" si="3"/>
        <v>46</v>
      </c>
      <c r="B53" s="4">
        <f t="shared" si="0"/>
        <v>108.69565217391303</v>
      </c>
      <c r="C53" s="4">
        <f t="shared" si="1"/>
        <v>2300</v>
      </c>
      <c r="D53" s="4">
        <f t="shared" si="2"/>
        <v>2408.695652173913</v>
      </c>
    </row>
    <row r="54" spans="1:4" x14ac:dyDescent="0.25">
      <c r="A54" s="3">
        <f t="shared" si="3"/>
        <v>47</v>
      </c>
      <c r="B54" s="4">
        <f t="shared" si="0"/>
        <v>106.38297872340425</v>
      </c>
      <c r="C54" s="4">
        <f t="shared" si="1"/>
        <v>2350</v>
      </c>
      <c r="D54" s="4">
        <f t="shared" si="2"/>
        <v>2456.3829787234044</v>
      </c>
    </row>
    <row r="55" spans="1:4" x14ac:dyDescent="0.25">
      <c r="A55" s="3">
        <f t="shared" si="3"/>
        <v>48</v>
      </c>
      <c r="B55" s="4">
        <f t="shared" si="0"/>
        <v>104.16666666666667</v>
      </c>
      <c r="C55" s="4">
        <f t="shared" si="1"/>
        <v>2400</v>
      </c>
      <c r="D55" s="4">
        <f t="shared" si="2"/>
        <v>2504.1666666666665</v>
      </c>
    </row>
    <row r="56" spans="1:4" x14ac:dyDescent="0.25">
      <c r="A56" s="3">
        <f t="shared" si="3"/>
        <v>49</v>
      </c>
      <c r="B56" s="4">
        <f t="shared" si="0"/>
        <v>102.04081632653062</v>
      </c>
      <c r="C56" s="4">
        <f t="shared" si="1"/>
        <v>2450</v>
      </c>
      <c r="D56" s="4">
        <f t="shared" si="2"/>
        <v>2552.0408163265306</v>
      </c>
    </row>
    <row r="57" spans="1:4" x14ac:dyDescent="0.25">
      <c r="A57" s="3">
        <f t="shared" si="3"/>
        <v>50</v>
      </c>
      <c r="B57" s="4">
        <f t="shared" si="0"/>
        <v>100</v>
      </c>
      <c r="C57" s="4">
        <f t="shared" si="1"/>
        <v>2500</v>
      </c>
      <c r="D57" s="4">
        <f t="shared" si="2"/>
        <v>2600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N40"/>
  <sheetViews>
    <sheetView topLeftCell="A4" workbookViewId="0">
      <selection activeCell="R28" sqref="R28"/>
    </sheetView>
  </sheetViews>
  <sheetFormatPr defaultRowHeight="13.8" x14ac:dyDescent="0.25"/>
  <cols>
    <col min="1" max="1" width="10.6640625" customWidth="1"/>
    <col min="2" max="2" width="25.5546875" customWidth="1"/>
    <col min="3" max="3" width="9.6640625" style="47" customWidth="1"/>
    <col min="7" max="7" width="25.5546875" customWidth="1"/>
    <col min="12" max="12" width="9.6640625" bestFit="1" customWidth="1"/>
    <col min="13" max="13" width="13.109375" bestFit="1" customWidth="1"/>
    <col min="14" max="14" width="10.6640625" bestFit="1" customWidth="1"/>
    <col min="17" max="17" width="9.6640625" bestFit="1" customWidth="1"/>
    <col min="18" max="18" width="13.109375" bestFit="1" customWidth="1"/>
    <col min="19" max="19" width="10.6640625" bestFit="1" customWidth="1"/>
  </cols>
  <sheetData>
    <row r="1" spans="2:14" x14ac:dyDescent="0.25">
      <c r="H1" s="47"/>
    </row>
    <row r="2" spans="2:14" ht="14.4" thickBot="1" x14ac:dyDescent="0.3">
      <c r="H2" s="47"/>
      <c r="K2" s="80" t="s">
        <v>60</v>
      </c>
      <c r="L2" s="77">
        <f>H14</f>
        <v>3890</v>
      </c>
      <c r="M2" s="78">
        <f>H10</f>
        <v>40</v>
      </c>
      <c r="N2" s="79">
        <f>H11</f>
        <v>9.125</v>
      </c>
    </row>
    <row r="3" spans="2:14" x14ac:dyDescent="0.25">
      <c r="G3" s="48" t="s">
        <v>50</v>
      </c>
      <c r="H3" s="49">
        <v>24000</v>
      </c>
      <c r="K3" s="16">
        <v>500</v>
      </c>
      <c r="L3" s="76">
        <f t="dataTable" ref="L3:N13" dt2D="0" dtr="0" r1="H9"/>
        <v>3975</v>
      </c>
      <c r="M3" s="76">
        <v>48</v>
      </c>
      <c r="N3" s="76">
        <v>7.6041666666666661</v>
      </c>
    </row>
    <row r="4" spans="2:14" x14ac:dyDescent="0.25">
      <c r="B4" s="50" t="s">
        <v>50</v>
      </c>
      <c r="C4" s="51">
        <v>24000</v>
      </c>
      <c r="G4" s="52" t="s">
        <v>51</v>
      </c>
      <c r="H4" s="53">
        <v>35</v>
      </c>
      <c r="K4" s="16">
        <v>550</v>
      </c>
      <c r="L4" s="76">
        <v>3914.318181818182</v>
      </c>
      <c r="M4" s="76">
        <v>43.636363636363633</v>
      </c>
      <c r="N4" s="76">
        <v>8.3645833333333321</v>
      </c>
    </row>
    <row r="5" spans="2:14" x14ac:dyDescent="0.25">
      <c r="B5" s="50" t="s">
        <v>51</v>
      </c>
      <c r="C5" s="54">
        <v>35</v>
      </c>
      <c r="G5" s="52" t="s">
        <v>52</v>
      </c>
      <c r="H5" s="53">
        <v>50</v>
      </c>
      <c r="K5" s="16">
        <v>600</v>
      </c>
      <c r="L5" s="76">
        <v>3890</v>
      </c>
      <c r="M5" s="76">
        <v>40</v>
      </c>
      <c r="N5" s="76">
        <v>9.125</v>
      </c>
    </row>
    <row r="6" spans="2:14" ht="14.4" thickBot="1" x14ac:dyDescent="0.3">
      <c r="B6" s="50" t="s">
        <v>52</v>
      </c>
      <c r="C6" s="54">
        <v>50</v>
      </c>
      <c r="G6" s="55" t="s">
        <v>53</v>
      </c>
      <c r="H6" s="56">
        <v>0.18</v>
      </c>
      <c r="K6" s="16">
        <v>650</v>
      </c>
      <c r="L6" s="76">
        <v>3893.6538461538462</v>
      </c>
      <c r="M6" s="76">
        <v>36.92307692307692</v>
      </c>
      <c r="N6" s="76">
        <v>9.8854166666666679</v>
      </c>
    </row>
    <row r="7" spans="2:14" x14ac:dyDescent="0.25">
      <c r="B7" s="50" t="s">
        <v>53</v>
      </c>
      <c r="C7" s="57">
        <v>0.18</v>
      </c>
      <c r="H7" s="47"/>
      <c r="K7" s="16">
        <v>700</v>
      </c>
      <c r="L7" s="76">
        <v>3919.2857142857142</v>
      </c>
      <c r="M7" s="76">
        <v>34.285714285714285</v>
      </c>
      <c r="N7" s="76">
        <v>10.645833333333334</v>
      </c>
    </row>
    <row r="8" spans="2:14" ht="14.4" thickBot="1" x14ac:dyDescent="0.3">
      <c r="H8" s="47"/>
      <c r="K8" s="16">
        <v>750</v>
      </c>
      <c r="L8" s="76">
        <v>3962.5</v>
      </c>
      <c r="M8" s="76">
        <v>32</v>
      </c>
      <c r="N8" s="76">
        <v>11.40625</v>
      </c>
    </row>
    <row r="9" spans="2:14" x14ac:dyDescent="0.25">
      <c r="G9" s="58" t="s">
        <v>54</v>
      </c>
      <c r="H9" s="59">
        <v>600</v>
      </c>
      <c r="K9" s="16">
        <v>800</v>
      </c>
      <c r="L9" s="76">
        <v>4020</v>
      </c>
      <c r="M9" s="76">
        <v>30</v>
      </c>
      <c r="N9" s="76">
        <v>12.166666666666666</v>
      </c>
    </row>
    <row r="10" spans="2:14" x14ac:dyDescent="0.25">
      <c r="B10" s="60" t="s">
        <v>44</v>
      </c>
      <c r="C10" s="61">
        <v>617</v>
      </c>
      <c r="G10" s="62" t="s">
        <v>45</v>
      </c>
      <c r="H10" s="63">
        <f>$H$3/H9</f>
        <v>40</v>
      </c>
      <c r="K10" s="16">
        <v>850</v>
      </c>
      <c r="L10" s="76">
        <v>4089.2647058823532</v>
      </c>
      <c r="M10" s="76">
        <v>28.235294117647058</v>
      </c>
      <c r="N10" s="76">
        <v>12.927083333333332</v>
      </c>
    </row>
    <row r="11" spans="2:14" x14ac:dyDescent="0.25">
      <c r="B11" s="60" t="s">
        <v>45</v>
      </c>
      <c r="C11" s="64">
        <f>$C$4/C10</f>
        <v>38.897893030794165</v>
      </c>
      <c r="G11" s="62" t="s">
        <v>46</v>
      </c>
      <c r="H11" s="63">
        <f>(H9/H3)*365</f>
        <v>9.125</v>
      </c>
      <c r="K11" s="16">
        <v>900</v>
      </c>
      <c r="L11" s="76">
        <v>4168.333333333333</v>
      </c>
      <c r="M11" s="76">
        <v>26.666666666666668</v>
      </c>
      <c r="N11" s="76">
        <v>13.6875</v>
      </c>
    </row>
    <row r="12" spans="2:14" x14ac:dyDescent="0.25">
      <c r="B12" s="60" t="s">
        <v>46</v>
      </c>
      <c r="C12" s="64">
        <f>(C10/C4)*365</f>
        <v>9.383541666666666</v>
      </c>
      <c r="G12" s="62" t="s">
        <v>47</v>
      </c>
      <c r="H12" s="63">
        <f>(H3*H5)/H9</f>
        <v>2000</v>
      </c>
      <c r="K12" s="16">
        <v>950</v>
      </c>
      <c r="L12" s="76">
        <v>4255.6578947368416</v>
      </c>
      <c r="M12" s="76">
        <v>25.263157894736842</v>
      </c>
      <c r="N12" s="76">
        <v>14.447916666666666</v>
      </c>
    </row>
    <row r="13" spans="2:14" x14ac:dyDescent="0.25">
      <c r="B13" s="60" t="s">
        <v>47</v>
      </c>
      <c r="C13" s="64">
        <f>(C4*C6)/C10</f>
        <v>1944.8946515397083</v>
      </c>
      <c r="G13" s="62" t="s">
        <v>48</v>
      </c>
      <c r="H13" s="63">
        <f>(H9*H4*H6)/2</f>
        <v>1890</v>
      </c>
      <c r="K13" s="16">
        <v>1000</v>
      </c>
      <c r="L13" s="76">
        <v>4350</v>
      </c>
      <c r="M13" s="76">
        <v>24</v>
      </c>
      <c r="N13" s="76">
        <v>15.208333333333332</v>
      </c>
    </row>
    <row r="14" spans="2:14" ht="14.4" thickBot="1" x14ac:dyDescent="0.3">
      <c r="B14" s="60" t="s">
        <v>48</v>
      </c>
      <c r="C14" s="64">
        <f>(C10*C5*C7)/2</f>
        <v>1943.55</v>
      </c>
      <c r="G14" s="65" t="s">
        <v>49</v>
      </c>
      <c r="H14" s="66">
        <f>SUM(H12:H13)</f>
        <v>3890</v>
      </c>
    </row>
    <row r="15" spans="2:14" x14ac:dyDescent="0.25">
      <c r="B15" s="60" t="s">
        <v>49</v>
      </c>
      <c r="C15" s="64">
        <f>SUM(C13:C14)</f>
        <v>3888.4446515397085</v>
      </c>
      <c r="H15" s="47"/>
    </row>
    <row r="16" spans="2:14" x14ac:dyDescent="0.25">
      <c r="H16" s="47"/>
    </row>
    <row r="17" spans="8:8" x14ac:dyDescent="0.25">
      <c r="H17" s="47"/>
    </row>
    <row r="18" spans="8:8" x14ac:dyDescent="0.25">
      <c r="H18" s="47"/>
    </row>
    <row r="19" spans="8:8" x14ac:dyDescent="0.25">
      <c r="H19" s="47"/>
    </row>
    <row r="20" spans="8:8" x14ac:dyDescent="0.25">
      <c r="H20" s="47"/>
    </row>
    <row r="21" spans="8:8" x14ac:dyDescent="0.25">
      <c r="H21" s="47"/>
    </row>
    <row r="22" spans="8:8" x14ac:dyDescent="0.25">
      <c r="H22" s="47"/>
    </row>
    <row r="23" spans="8:8" x14ac:dyDescent="0.25">
      <c r="H23" s="47"/>
    </row>
    <row r="24" spans="8:8" x14ac:dyDescent="0.25">
      <c r="H24" s="47"/>
    </row>
    <row r="25" spans="8:8" x14ac:dyDescent="0.25">
      <c r="H25" s="47"/>
    </row>
    <row r="26" spans="8:8" x14ac:dyDescent="0.25">
      <c r="H26" s="47"/>
    </row>
    <row r="27" spans="8:8" x14ac:dyDescent="0.25">
      <c r="H27" s="47"/>
    </row>
    <row r="28" spans="8:8" x14ac:dyDescent="0.25">
      <c r="H28" s="47"/>
    </row>
    <row r="29" spans="8:8" x14ac:dyDescent="0.25">
      <c r="H29" s="47"/>
    </row>
    <row r="30" spans="8:8" x14ac:dyDescent="0.25">
      <c r="H30" s="47"/>
    </row>
    <row r="31" spans="8:8" x14ac:dyDescent="0.25">
      <c r="H31" s="47"/>
    </row>
    <row r="32" spans="8:8" x14ac:dyDescent="0.25">
      <c r="H32" s="47"/>
    </row>
    <row r="33" spans="8:8" x14ac:dyDescent="0.25">
      <c r="H33" s="47"/>
    </row>
    <row r="34" spans="8:8" x14ac:dyDescent="0.25">
      <c r="H34" s="47"/>
    </row>
    <row r="35" spans="8:8" x14ac:dyDescent="0.25">
      <c r="H35" s="47"/>
    </row>
    <row r="36" spans="8:8" x14ac:dyDescent="0.25">
      <c r="H36" s="47"/>
    </row>
    <row r="37" spans="8:8" x14ac:dyDescent="0.25">
      <c r="H37" s="47"/>
    </row>
    <row r="38" spans="8:8" x14ac:dyDescent="0.25">
      <c r="H38" s="47"/>
    </row>
    <row r="39" spans="8:8" x14ac:dyDescent="0.25">
      <c r="H39" s="47"/>
    </row>
    <row r="40" spans="8:8" x14ac:dyDescent="0.25">
      <c r="H40" s="47"/>
    </row>
  </sheetData>
  <phoneticPr fontId="3" type="noConversion"/>
  <pageMargins left="0.75" right="0.75" top="1" bottom="1" header="0.5" footer="0.5"/>
  <headerFooter alignWithMargins="0"/>
  <drawing r:id="rId1"/>
  <legacyDrawing r:id="rId2"/>
  <oleObjects>
    <mc:AlternateContent xmlns:mc="http://schemas.openxmlformats.org/markup-compatibility/2006">
      <mc:Choice Requires="x14">
        <oleObject progId="Equation.3" shapeId="23554" r:id="rId3">
          <objectPr defaultSize="0" autoPict="0" r:id="rId4">
            <anchor moveWithCells="1">
              <from>
                <xdr:col>0</xdr:col>
                <xdr:colOff>175260</xdr:colOff>
                <xdr:row>17</xdr:row>
                <xdr:rowOff>38100</xdr:rowOff>
              </from>
              <to>
                <xdr:col>5</xdr:col>
                <xdr:colOff>38100</xdr:colOff>
                <xdr:row>26</xdr:row>
                <xdr:rowOff>121920</xdr:rowOff>
              </to>
            </anchor>
          </objectPr>
        </oleObject>
      </mc:Choice>
      <mc:Fallback>
        <oleObject progId="Equation.3" shapeId="23554" r:id="rId3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2"/>
  <sheetViews>
    <sheetView workbookViewId="0">
      <selection activeCell="K4" sqref="K4"/>
    </sheetView>
  </sheetViews>
  <sheetFormatPr defaultRowHeight="13.8" x14ac:dyDescent="0.25"/>
  <cols>
    <col min="1" max="1" width="28.88671875" customWidth="1"/>
    <col min="2" max="2" width="2" customWidth="1"/>
    <col min="3" max="4" width="9.109375" style="1" customWidth="1"/>
  </cols>
  <sheetData>
    <row r="1" spans="1:9" x14ac:dyDescent="0.25">
      <c r="A1" s="8" t="s">
        <v>0</v>
      </c>
    </row>
    <row r="3" spans="1:9" x14ac:dyDescent="0.25">
      <c r="A3" s="13" t="s">
        <v>1</v>
      </c>
      <c r="B3" s="14"/>
      <c r="C3" s="9">
        <v>500</v>
      </c>
      <c r="D3" s="2"/>
      <c r="H3" t="s">
        <v>39</v>
      </c>
      <c r="I3" t="s">
        <v>38</v>
      </c>
    </row>
    <row r="4" spans="1:9" ht="14.4" thickBot="1" x14ac:dyDescent="0.3">
      <c r="A4" s="15" t="s">
        <v>2</v>
      </c>
      <c r="B4" s="16"/>
      <c r="C4" s="10">
        <v>80</v>
      </c>
      <c r="D4" s="2"/>
      <c r="I4" s="40">
        <f>D15</f>
        <v>908.33333333333337</v>
      </c>
    </row>
    <row r="5" spans="1:9" x14ac:dyDescent="0.25">
      <c r="A5" s="15" t="s">
        <v>3</v>
      </c>
      <c r="B5" s="16"/>
      <c r="C5" s="11">
        <v>20</v>
      </c>
      <c r="D5" s="2"/>
      <c r="H5">
        <v>60</v>
      </c>
      <c r="I5" s="44">
        <f t="dataTable" ref="I5:I16" dt2D="0" dtr="0" r1="D11"/>
        <v>966.66666666666663</v>
      </c>
    </row>
    <row r="6" spans="1:9" x14ac:dyDescent="0.25">
      <c r="A6" s="15" t="s">
        <v>4</v>
      </c>
      <c r="B6" s="16"/>
      <c r="C6" s="10">
        <v>50</v>
      </c>
      <c r="D6" s="2"/>
      <c r="H6">
        <v>65</v>
      </c>
      <c r="I6" s="45">
        <v>940.38461538461536</v>
      </c>
    </row>
    <row r="7" spans="1:9" x14ac:dyDescent="0.25">
      <c r="A7" s="15" t="s">
        <v>5</v>
      </c>
      <c r="B7" s="16"/>
      <c r="C7" s="11">
        <v>300</v>
      </c>
      <c r="D7" s="2"/>
      <c r="H7">
        <v>70</v>
      </c>
      <c r="I7" s="45">
        <v>921.42857142857144</v>
      </c>
    </row>
    <row r="8" spans="1:9" x14ac:dyDescent="0.25">
      <c r="A8" s="17" t="s">
        <v>6</v>
      </c>
      <c r="B8" s="18"/>
      <c r="C8" s="12">
        <v>60</v>
      </c>
      <c r="D8" s="2"/>
      <c r="H8">
        <v>75</v>
      </c>
      <c r="I8" s="45">
        <v>908.33333333333337</v>
      </c>
    </row>
    <row r="9" spans="1:9" x14ac:dyDescent="0.25">
      <c r="C9" s="2"/>
      <c r="D9" s="2"/>
      <c r="H9">
        <v>80</v>
      </c>
      <c r="I9" s="45">
        <v>900</v>
      </c>
    </row>
    <row r="10" spans="1:9" x14ac:dyDescent="0.25">
      <c r="A10" s="13" t="s">
        <v>7</v>
      </c>
      <c r="B10" s="19"/>
      <c r="C10" s="25">
        <f>SQRT(2*C3*C4/(C5*C6/100))</f>
        <v>89.442719099991592</v>
      </c>
      <c r="D10" s="20"/>
      <c r="H10">
        <v>85</v>
      </c>
      <c r="I10" s="45">
        <v>895.58823529411757</v>
      </c>
    </row>
    <row r="11" spans="1:9" x14ac:dyDescent="0.25">
      <c r="A11" s="15" t="s">
        <v>8</v>
      </c>
      <c r="B11" s="21"/>
      <c r="C11" s="23"/>
      <c r="D11" s="26">
        <v>75</v>
      </c>
      <c r="H11">
        <v>90</v>
      </c>
      <c r="I11" s="45">
        <v>894.44444444444446</v>
      </c>
    </row>
    <row r="12" spans="1:9" x14ac:dyDescent="0.25">
      <c r="A12" s="17" t="s">
        <v>9</v>
      </c>
      <c r="B12" s="22"/>
      <c r="C12" s="24"/>
      <c r="D12" s="27">
        <f>(D11/C10-1)*100</f>
        <v>-16.147450843757895</v>
      </c>
      <c r="H12">
        <v>95</v>
      </c>
      <c r="I12" s="45">
        <v>896.05263157894728</v>
      </c>
    </row>
    <row r="13" spans="1:9" x14ac:dyDescent="0.25">
      <c r="A13" s="8" t="s">
        <v>10</v>
      </c>
      <c r="C13" s="34">
        <f>C5/100*C6*C10/2</f>
        <v>447.21359549995793</v>
      </c>
      <c r="D13" s="35">
        <f>C5/100*C6*D11/2</f>
        <v>375</v>
      </c>
      <c r="E13" s="8" t="s">
        <v>42</v>
      </c>
      <c r="H13">
        <v>100</v>
      </c>
      <c r="I13" s="45">
        <v>900</v>
      </c>
    </row>
    <row r="14" spans="1:9" x14ac:dyDescent="0.25">
      <c r="A14" s="8" t="s">
        <v>11</v>
      </c>
      <c r="C14" s="36">
        <f>C4*C3/C10</f>
        <v>447.21359549995793</v>
      </c>
      <c r="D14" s="37">
        <f>C4*C3/D11</f>
        <v>533.33333333333337</v>
      </c>
      <c r="E14" s="8" t="s">
        <v>41</v>
      </c>
      <c r="H14">
        <v>105</v>
      </c>
      <c r="I14" s="45">
        <v>905.95238095238096</v>
      </c>
    </row>
    <row r="15" spans="1:9" x14ac:dyDescent="0.25">
      <c r="A15" s="8" t="s">
        <v>12</v>
      </c>
      <c r="C15" s="36">
        <f>SUM(C13:C14)</f>
        <v>894.42719099991587</v>
      </c>
      <c r="D15" s="37">
        <f>SUM(D13:D14)</f>
        <v>908.33333333333337</v>
      </c>
      <c r="E15" s="8" t="s">
        <v>43</v>
      </c>
      <c r="H15">
        <v>110</v>
      </c>
      <c r="I15" s="45">
        <v>913.63636363636363</v>
      </c>
    </row>
    <row r="16" spans="1:9" ht="14.4" thickBot="1" x14ac:dyDescent="0.3">
      <c r="A16" s="8" t="s">
        <v>13</v>
      </c>
      <c r="C16" s="24"/>
      <c r="D16" s="38">
        <f>(D15/C15-1)*100</f>
        <v>1.554753978115464</v>
      </c>
      <c r="H16">
        <v>115</v>
      </c>
      <c r="I16" s="46">
        <v>922.82608695652175</v>
      </c>
    </row>
    <row r="17" spans="1:4" x14ac:dyDescent="0.25">
      <c r="C17" s="2"/>
      <c r="D17" s="2"/>
    </row>
    <row r="18" spans="1:4" x14ac:dyDescent="0.25">
      <c r="A18" s="28" t="s">
        <v>14</v>
      </c>
      <c r="C18" s="31">
        <f>C10</f>
        <v>89.442719099991592</v>
      </c>
      <c r="D18" s="20">
        <f>D11</f>
        <v>75</v>
      </c>
    </row>
    <row r="19" spans="1:4" x14ac:dyDescent="0.25">
      <c r="A19" s="29" t="s">
        <v>15</v>
      </c>
      <c r="C19" s="23">
        <f>C10/2</f>
        <v>44.721359549995796</v>
      </c>
      <c r="D19" s="32">
        <f>D18/2</f>
        <v>37.5</v>
      </c>
    </row>
    <row r="20" spans="1:4" x14ac:dyDescent="0.25">
      <c r="A20" s="29" t="s">
        <v>16</v>
      </c>
      <c r="C20" s="23">
        <f>C3/C7*C8</f>
        <v>100</v>
      </c>
      <c r="D20" s="32">
        <f>C20</f>
        <v>100</v>
      </c>
    </row>
    <row r="21" spans="1:4" x14ac:dyDescent="0.25">
      <c r="A21" s="29" t="s">
        <v>17</v>
      </c>
      <c r="C21" s="23">
        <f>C3/C10</f>
        <v>5.5901699437494736</v>
      </c>
      <c r="D21" s="32">
        <f>C3/D11</f>
        <v>6.666666666666667</v>
      </c>
    </row>
    <row r="22" spans="1:4" x14ac:dyDescent="0.25">
      <c r="A22" s="30" t="s">
        <v>18</v>
      </c>
      <c r="C22" s="24">
        <f>C7/C21</f>
        <v>53.665631459994955</v>
      </c>
      <c r="D22" s="33">
        <f>C7/D21</f>
        <v>45</v>
      </c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2"/>
  <sheetViews>
    <sheetView topLeftCell="A7" workbookViewId="0"/>
  </sheetViews>
  <sheetFormatPr defaultRowHeight="13.8" x14ac:dyDescent="0.25"/>
  <cols>
    <col min="1" max="1" width="28.88671875" customWidth="1"/>
    <col min="2" max="2" width="2" customWidth="1"/>
    <col min="3" max="3" width="9.109375" style="1" customWidth="1"/>
    <col min="5" max="5" width="12.44140625" customWidth="1"/>
    <col min="6" max="6" width="5.6640625" customWidth="1"/>
    <col min="8" max="15" width="10.5546875" bestFit="1" customWidth="1"/>
  </cols>
  <sheetData>
    <row r="1" spans="1:15" x14ac:dyDescent="0.25">
      <c r="A1" s="8" t="s">
        <v>0</v>
      </c>
    </row>
    <row r="3" spans="1:15" x14ac:dyDescent="0.25">
      <c r="A3" s="13" t="s">
        <v>1</v>
      </c>
      <c r="B3" s="14"/>
      <c r="C3" s="9">
        <v>500</v>
      </c>
    </row>
    <row r="4" spans="1:15" x14ac:dyDescent="0.25">
      <c r="A4" s="15" t="s">
        <v>2</v>
      </c>
      <c r="B4" s="16"/>
      <c r="C4" s="10">
        <v>80</v>
      </c>
    </row>
    <row r="5" spans="1:15" x14ac:dyDescent="0.25">
      <c r="A5" s="15" t="s">
        <v>3</v>
      </c>
      <c r="B5" s="16"/>
      <c r="C5" s="11">
        <v>20</v>
      </c>
    </row>
    <row r="6" spans="1:15" x14ac:dyDescent="0.25">
      <c r="A6" s="15" t="s">
        <v>4</v>
      </c>
      <c r="B6" s="16"/>
      <c r="C6" s="10">
        <v>50</v>
      </c>
    </row>
    <row r="7" spans="1:15" x14ac:dyDescent="0.25">
      <c r="A7" s="15" t="s">
        <v>5</v>
      </c>
      <c r="B7" s="16"/>
      <c r="C7" s="11">
        <v>300</v>
      </c>
      <c r="I7" s="81" t="s">
        <v>40</v>
      </c>
      <c r="J7" s="81"/>
      <c r="K7" s="81"/>
      <c r="L7" s="81"/>
      <c r="M7" s="81"/>
    </row>
    <row r="8" spans="1:15" x14ac:dyDescent="0.25">
      <c r="A8" s="17" t="s">
        <v>6</v>
      </c>
      <c r="B8" s="18"/>
      <c r="C8" s="12">
        <v>60</v>
      </c>
      <c r="G8" s="39">
        <f>C10</f>
        <v>89.442719099991592</v>
      </c>
      <c r="H8" s="41">
        <v>40</v>
      </c>
      <c r="I8" s="41">
        <v>50</v>
      </c>
      <c r="J8" s="41">
        <v>60</v>
      </c>
      <c r="K8" s="41">
        <v>70</v>
      </c>
      <c r="L8" s="41">
        <v>80</v>
      </c>
      <c r="M8" s="41">
        <v>90</v>
      </c>
      <c r="N8" s="41">
        <v>100</v>
      </c>
      <c r="O8" s="41">
        <v>110</v>
      </c>
    </row>
    <row r="9" spans="1:15" x14ac:dyDescent="0.25">
      <c r="C9" s="2"/>
      <c r="F9" s="82" t="s">
        <v>24</v>
      </c>
      <c r="G9" s="42">
        <v>200</v>
      </c>
      <c r="H9" s="39">
        <f t="dataTable" ref="H9:O21" dt2D="1" dtr="0" r1="C4" r2="C3"/>
        <v>40</v>
      </c>
      <c r="I9" s="39">
        <v>44.721359549995796</v>
      </c>
      <c r="J9" s="39">
        <v>48.989794855663561</v>
      </c>
      <c r="K9" s="39">
        <v>52.915026221291811</v>
      </c>
      <c r="L9" s="39">
        <v>56.568542494923804</v>
      </c>
      <c r="M9" s="39">
        <v>60</v>
      </c>
      <c r="N9" s="39">
        <v>63.245553203367585</v>
      </c>
      <c r="O9" s="39">
        <v>66.332495807108003</v>
      </c>
    </row>
    <row r="10" spans="1:15" ht="15" customHeight="1" x14ac:dyDescent="0.25">
      <c r="A10" s="13" t="s">
        <v>7</v>
      </c>
      <c r="B10" s="19"/>
      <c r="C10" s="25">
        <f>SQRT(2*C3*C4/(C5*C6/100))</f>
        <v>89.442719099991592</v>
      </c>
      <c r="F10" s="82"/>
      <c r="G10" s="42">
        <v>300</v>
      </c>
      <c r="H10" s="39">
        <v>48.989794855663561</v>
      </c>
      <c r="I10" s="39">
        <v>54.772255750516614</v>
      </c>
      <c r="J10" s="39">
        <v>60</v>
      </c>
      <c r="K10" s="39">
        <v>64.807406984078597</v>
      </c>
      <c r="L10" s="39">
        <v>69.282032302755098</v>
      </c>
      <c r="M10" s="39">
        <v>73.484692283495349</v>
      </c>
      <c r="N10" s="39">
        <v>77.459666924148337</v>
      </c>
      <c r="O10" s="39">
        <v>81.240384046359608</v>
      </c>
    </row>
    <row r="11" spans="1:15" x14ac:dyDescent="0.25">
      <c r="A11" s="15" t="s">
        <v>8</v>
      </c>
      <c r="B11" s="21"/>
      <c r="C11" s="23"/>
      <c r="F11" s="82"/>
      <c r="G11" s="42">
        <v>400</v>
      </c>
      <c r="H11" s="39">
        <v>56.568542494923804</v>
      </c>
      <c r="I11" s="39">
        <v>63.245553203367585</v>
      </c>
      <c r="J11" s="39">
        <v>69.282032302755098</v>
      </c>
      <c r="K11" s="39">
        <v>74.833147735478832</v>
      </c>
      <c r="L11" s="39">
        <v>80</v>
      </c>
      <c r="M11" s="39">
        <v>84.852813742385706</v>
      </c>
      <c r="N11" s="39">
        <v>89.442719099991592</v>
      </c>
      <c r="O11" s="39">
        <v>93.808315196468598</v>
      </c>
    </row>
    <row r="12" spans="1:15" x14ac:dyDescent="0.25">
      <c r="A12" s="17" t="s">
        <v>9</v>
      </c>
      <c r="B12" s="22"/>
      <c r="C12" s="24"/>
      <c r="F12" s="82"/>
      <c r="G12" s="42">
        <v>500</v>
      </c>
      <c r="H12" s="39">
        <v>63.245553203367585</v>
      </c>
      <c r="I12" s="39">
        <v>70.710678118654755</v>
      </c>
      <c r="J12" s="39">
        <v>77.459666924148337</v>
      </c>
      <c r="K12" s="39">
        <v>83.66600265340756</v>
      </c>
      <c r="L12" s="39">
        <v>89.442719099991592</v>
      </c>
      <c r="M12" s="39">
        <v>94.868329805051374</v>
      </c>
      <c r="N12" s="39">
        <v>100</v>
      </c>
      <c r="O12" s="39">
        <v>104.88088481701516</v>
      </c>
    </row>
    <row r="13" spans="1:15" x14ac:dyDescent="0.25">
      <c r="A13" s="8" t="s">
        <v>10</v>
      </c>
      <c r="C13" s="34">
        <f>C5/100*C6*C10/2</f>
        <v>447.21359549995793</v>
      </c>
      <c r="F13" s="82"/>
      <c r="G13" s="42">
        <v>600</v>
      </c>
      <c r="H13" s="39">
        <v>69.282032302755098</v>
      </c>
      <c r="I13" s="39">
        <v>77.459666924148337</v>
      </c>
      <c r="J13" s="39">
        <v>84.852813742385706</v>
      </c>
      <c r="K13" s="39">
        <v>91.651513899116793</v>
      </c>
      <c r="L13" s="39">
        <v>97.979589711327122</v>
      </c>
      <c r="M13" s="39">
        <v>103.92304845413264</v>
      </c>
      <c r="N13" s="39">
        <v>109.54451150103323</v>
      </c>
      <c r="O13" s="39">
        <v>114.89125293076057</v>
      </c>
    </row>
    <row r="14" spans="1:15" x14ac:dyDescent="0.25">
      <c r="A14" s="8" t="s">
        <v>11</v>
      </c>
      <c r="C14" s="36">
        <f>C4*C3/C10</f>
        <v>447.21359549995793</v>
      </c>
      <c r="F14" s="82"/>
      <c r="G14" s="42">
        <v>700</v>
      </c>
      <c r="H14" s="39">
        <v>74.833147735478832</v>
      </c>
      <c r="I14" s="39">
        <v>83.66600265340756</v>
      </c>
      <c r="J14" s="39">
        <v>91.651513899116793</v>
      </c>
      <c r="K14" s="39">
        <v>98.994949366116657</v>
      </c>
      <c r="L14" s="39">
        <v>105.83005244258362</v>
      </c>
      <c r="M14" s="39">
        <v>112.24972160321825</v>
      </c>
      <c r="N14" s="39">
        <v>118.32159566199232</v>
      </c>
      <c r="O14" s="39">
        <v>124.09673645990857</v>
      </c>
    </row>
    <row r="15" spans="1:15" x14ac:dyDescent="0.25">
      <c r="A15" s="8" t="s">
        <v>12</v>
      </c>
      <c r="C15" s="36">
        <f>SUM(C13:C14)</f>
        <v>894.42719099991587</v>
      </c>
      <c r="F15" s="43"/>
      <c r="G15" s="42">
        <v>800</v>
      </c>
      <c r="H15" s="39">
        <v>80</v>
      </c>
      <c r="I15" s="39">
        <v>89.442719099991592</v>
      </c>
      <c r="J15" s="39">
        <v>97.979589711327122</v>
      </c>
      <c r="K15" s="39">
        <v>105.83005244258362</v>
      </c>
      <c r="L15" s="39">
        <v>113.13708498984761</v>
      </c>
      <c r="M15" s="39">
        <v>120</v>
      </c>
      <c r="N15" s="39">
        <v>126.49110640673517</v>
      </c>
      <c r="O15" s="39">
        <v>132.66499161421601</v>
      </c>
    </row>
    <row r="16" spans="1:15" x14ac:dyDescent="0.25">
      <c r="A16" s="8" t="s">
        <v>13</v>
      </c>
      <c r="C16" s="24"/>
      <c r="F16" s="43"/>
      <c r="G16" s="42">
        <v>900</v>
      </c>
      <c r="H16" s="39">
        <v>84.852813742385706</v>
      </c>
      <c r="I16" s="39">
        <v>94.868329805051374</v>
      </c>
      <c r="J16" s="39">
        <v>103.92304845413264</v>
      </c>
      <c r="K16" s="39">
        <v>112.24972160321825</v>
      </c>
      <c r="L16" s="39">
        <v>120</v>
      </c>
      <c r="M16" s="39">
        <v>127.27922061357856</v>
      </c>
      <c r="N16" s="39">
        <v>134.16407864998737</v>
      </c>
      <c r="O16" s="39">
        <v>140.71247279470288</v>
      </c>
    </row>
    <row r="17" spans="1:15" x14ac:dyDescent="0.25">
      <c r="C17" s="2"/>
      <c r="F17" s="43"/>
      <c r="G17" s="42">
        <v>1000</v>
      </c>
      <c r="H17" s="39">
        <v>89.442719099991592</v>
      </c>
      <c r="I17" s="39">
        <v>100</v>
      </c>
      <c r="J17" s="39">
        <v>109.54451150103323</v>
      </c>
      <c r="K17" s="39">
        <v>118.32159566199232</v>
      </c>
      <c r="L17" s="39">
        <v>126.49110640673517</v>
      </c>
      <c r="M17" s="39">
        <v>134.16407864998737</v>
      </c>
      <c r="N17" s="39">
        <v>141.42135623730951</v>
      </c>
      <c r="O17" s="39">
        <v>148.32396974191326</v>
      </c>
    </row>
    <row r="18" spans="1:15" x14ac:dyDescent="0.25">
      <c r="A18" s="28" t="s">
        <v>14</v>
      </c>
      <c r="C18" s="31">
        <f>C10</f>
        <v>89.442719099991592</v>
      </c>
      <c r="F18" s="43"/>
      <c r="G18" s="42">
        <v>1100</v>
      </c>
      <c r="H18" s="39">
        <v>93.808315196468598</v>
      </c>
      <c r="I18" s="39">
        <v>104.88088481701516</v>
      </c>
      <c r="J18" s="39">
        <v>114.89125293076057</v>
      </c>
      <c r="K18" s="39">
        <v>124.09673645990857</v>
      </c>
      <c r="L18" s="39">
        <v>132.66499161421601</v>
      </c>
      <c r="M18" s="39">
        <v>140.71247279470288</v>
      </c>
      <c r="N18" s="39">
        <v>148.32396974191326</v>
      </c>
      <c r="O18" s="39">
        <v>155.56349186104046</v>
      </c>
    </row>
    <row r="19" spans="1:15" x14ac:dyDescent="0.25">
      <c r="A19" s="29" t="s">
        <v>15</v>
      </c>
      <c r="C19" s="23">
        <f>C10/2</f>
        <v>44.721359549995796</v>
      </c>
      <c r="F19" s="43"/>
      <c r="G19" s="42">
        <v>1200</v>
      </c>
      <c r="H19" s="39">
        <v>97.979589711327122</v>
      </c>
      <c r="I19" s="39">
        <v>109.54451150103323</v>
      </c>
      <c r="J19" s="39">
        <v>120</v>
      </c>
      <c r="K19" s="39">
        <v>129.61481396815719</v>
      </c>
      <c r="L19" s="39">
        <v>138.5640646055102</v>
      </c>
      <c r="M19" s="39">
        <v>146.9693845669907</v>
      </c>
      <c r="N19" s="39">
        <v>154.91933384829667</v>
      </c>
      <c r="O19" s="39">
        <v>162.48076809271922</v>
      </c>
    </row>
    <row r="20" spans="1:15" ht="15" customHeight="1" x14ac:dyDescent="0.25">
      <c r="A20" s="29" t="s">
        <v>16</v>
      </c>
      <c r="C20" s="23">
        <f>C3/C7*C8</f>
        <v>100</v>
      </c>
      <c r="G20" s="42">
        <v>1300</v>
      </c>
      <c r="H20" s="39">
        <v>101.9803902718557</v>
      </c>
      <c r="I20" s="39">
        <v>114.0175425099138</v>
      </c>
      <c r="J20" s="39">
        <v>124.89995996796796</v>
      </c>
      <c r="K20" s="39">
        <v>134.90737563232042</v>
      </c>
      <c r="L20" s="39">
        <v>144.22205101855957</v>
      </c>
      <c r="M20" s="39">
        <v>152.97058540778355</v>
      </c>
      <c r="N20" s="39">
        <v>161.24515496597098</v>
      </c>
      <c r="O20" s="39">
        <v>169.11534525287763</v>
      </c>
    </row>
    <row r="21" spans="1:15" x14ac:dyDescent="0.25">
      <c r="A21" s="29" t="s">
        <v>17</v>
      </c>
      <c r="C21" s="23">
        <f>C3/C10</f>
        <v>5.5901699437494736</v>
      </c>
      <c r="G21" s="42">
        <v>1400</v>
      </c>
      <c r="H21" s="39">
        <v>105.83005244258362</v>
      </c>
      <c r="I21" s="39">
        <v>118.32159566199232</v>
      </c>
      <c r="J21" s="39">
        <v>129.61481396815719</v>
      </c>
      <c r="K21" s="39">
        <v>140</v>
      </c>
      <c r="L21" s="39">
        <v>149.66629547095766</v>
      </c>
      <c r="M21" s="39">
        <v>158.74507866387543</v>
      </c>
      <c r="N21" s="39">
        <v>167.33200530681512</v>
      </c>
      <c r="O21" s="39">
        <v>175.49928774784243</v>
      </c>
    </row>
    <row r="22" spans="1:15" x14ac:dyDescent="0.25">
      <c r="A22" s="30" t="s">
        <v>18</v>
      </c>
      <c r="C22" s="24">
        <f>C7/C21</f>
        <v>53.665631459994955</v>
      </c>
    </row>
  </sheetData>
  <mergeCells count="2">
    <mergeCell ref="I7:M7"/>
    <mergeCell ref="F9:F14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59"/>
  <sheetViews>
    <sheetView zoomScale="85" workbookViewId="0"/>
  </sheetViews>
  <sheetFormatPr defaultRowHeight="13.8" x14ac:dyDescent="0.25"/>
  <cols>
    <col min="1" max="1" width="18.88671875" customWidth="1"/>
  </cols>
  <sheetData>
    <row r="1" spans="1:9" x14ac:dyDescent="0.25">
      <c r="B1" s="6">
        <v>0</v>
      </c>
      <c r="C1" s="6">
        <v>7.0000000000000007E-2</v>
      </c>
      <c r="D1" s="6">
        <v>0.1</v>
      </c>
      <c r="E1" s="6">
        <v>0.15</v>
      </c>
    </row>
    <row r="3" spans="1:9" x14ac:dyDescent="0.25">
      <c r="A3" t="s">
        <v>25</v>
      </c>
      <c r="B3">
        <v>3.2</v>
      </c>
      <c r="C3">
        <v>3.2</v>
      </c>
      <c r="D3">
        <v>3.2</v>
      </c>
      <c r="E3">
        <v>3.2</v>
      </c>
    </row>
    <row r="4" spans="1:9" x14ac:dyDescent="0.25">
      <c r="A4" t="s">
        <v>28</v>
      </c>
      <c r="B4">
        <v>3.2</v>
      </c>
      <c r="C4">
        <f>C3*0.93</f>
        <v>2.9760000000000004</v>
      </c>
      <c r="D4">
        <f>D3*0.9</f>
        <v>2.8800000000000003</v>
      </c>
      <c r="E4">
        <f>E3*0.85</f>
        <v>2.72</v>
      </c>
    </row>
    <row r="5" spans="1:9" x14ac:dyDescent="0.25">
      <c r="A5" t="s">
        <v>27</v>
      </c>
      <c r="B5">
        <f>21*52</f>
        <v>1092</v>
      </c>
      <c r="C5">
        <f>21*52</f>
        <v>1092</v>
      </c>
      <c r="D5">
        <f>21*52</f>
        <v>1092</v>
      </c>
      <c r="E5">
        <f>21*52</f>
        <v>1092</v>
      </c>
    </row>
    <row r="6" spans="1:9" x14ac:dyDescent="0.25">
      <c r="A6" t="s">
        <v>26</v>
      </c>
      <c r="B6">
        <v>0.25</v>
      </c>
      <c r="C6">
        <v>0.25</v>
      </c>
      <c r="D6">
        <v>0.25</v>
      </c>
      <c r="E6">
        <v>0.25</v>
      </c>
    </row>
    <row r="7" spans="1:9" x14ac:dyDescent="0.25">
      <c r="A7" t="s">
        <v>2</v>
      </c>
      <c r="B7">
        <v>20</v>
      </c>
      <c r="C7">
        <v>20</v>
      </c>
      <c r="D7">
        <v>20</v>
      </c>
      <c r="E7">
        <v>20</v>
      </c>
    </row>
    <row r="9" spans="1:9" x14ac:dyDescent="0.25">
      <c r="A9" t="s">
        <v>29</v>
      </c>
      <c r="B9" t="s">
        <v>30</v>
      </c>
      <c r="C9" t="s">
        <v>31</v>
      </c>
      <c r="D9" t="s">
        <v>32</v>
      </c>
      <c r="E9" t="s">
        <v>33</v>
      </c>
      <c r="F9" t="s">
        <v>34</v>
      </c>
      <c r="G9" t="s">
        <v>35</v>
      </c>
      <c r="H9" t="s">
        <v>36</v>
      </c>
      <c r="I9" t="s">
        <v>37</v>
      </c>
    </row>
    <row r="10" spans="1:9" x14ac:dyDescent="0.25">
      <c r="A10">
        <v>0</v>
      </c>
      <c r="B10" s="7">
        <v>999</v>
      </c>
      <c r="C10" s="7"/>
      <c r="D10" s="7"/>
      <c r="E10" s="7"/>
      <c r="F10">
        <f>52*21*(5.25-B$4)-B10</f>
        <v>1239.5999999999999</v>
      </c>
    </row>
    <row r="11" spans="1:9" x14ac:dyDescent="0.25">
      <c r="A11">
        <v>50</v>
      </c>
      <c r="B11" s="7">
        <f t="shared" ref="B11:B18" si="0">($B$5*$B$7/$A11)+($A11*B$4*$B$6/2)</f>
        <v>456.8</v>
      </c>
      <c r="C11" s="7"/>
      <c r="D11" s="7"/>
      <c r="E11" s="7"/>
      <c r="F11">
        <f t="shared" ref="F11:F18" si="1">52*21*(5.25-B$4)-B11</f>
        <v>1781.8</v>
      </c>
    </row>
    <row r="12" spans="1:9" x14ac:dyDescent="0.25">
      <c r="A12">
        <v>100</v>
      </c>
      <c r="B12" s="7">
        <f t="shared" si="0"/>
        <v>258.39999999999998</v>
      </c>
      <c r="C12" s="7"/>
      <c r="D12" s="7"/>
      <c r="E12" s="7"/>
      <c r="F12">
        <f t="shared" si="1"/>
        <v>1980.1999999999998</v>
      </c>
    </row>
    <row r="13" spans="1:9" x14ac:dyDescent="0.25">
      <c r="A13">
        <v>150</v>
      </c>
      <c r="B13" s="7">
        <f t="shared" si="0"/>
        <v>205.6</v>
      </c>
      <c r="C13" s="7"/>
      <c r="D13" s="7"/>
      <c r="E13" s="7"/>
      <c r="F13">
        <f t="shared" si="1"/>
        <v>2033</v>
      </c>
    </row>
    <row r="14" spans="1:9" x14ac:dyDescent="0.25">
      <c r="A14">
        <v>200</v>
      </c>
      <c r="B14" s="7">
        <f t="shared" si="0"/>
        <v>189.2</v>
      </c>
      <c r="C14" s="7"/>
      <c r="D14" s="7"/>
      <c r="E14" s="7"/>
      <c r="F14">
        <f t="shared" si="1"/>
        <v>2049.4</v>
      </c>
    </row>
    <row r="15" spans="1:9" x14ac:dyDescent="0.25">
      <c r="A15">
        <v>250</v>
      </c>
      <c r="B15" s="7">
        <f t="shared" si="0"/>
        <v>187.36</v>
      </c>
      <c r="C15" s="7"/>
      <c r="D15" s="7"/>
      <c r="E15" s="7"/>
      <c r="F15">
        <f t="shared" si="1"/>
        <v>2051.2399999999998</v>
      </c>
    </row>
    <row r="16" spans="1:9" x14ac:dyDescent="0.25">
      <c r="A16">
        <v>300</v>
      </c>
      <c r="B16" s="7">
        <f t="shared" si="0"/>
        <v>192.8</v>
      </c>
      <c r="C16" s="7"/>
      <c r="D16" s="7"/>
      <c r="E16" s="7"/>
      <c r="F16">
        <f t="shared" si="1"/>
        <v>2045.8</v>
      </c>
    </row>
    <row r="17" spans="1:8" x14ac:dyDescent="0.25">
      <c r="A17">
        <v>350</v>
      </c>
      <c r="B17" s="7">
        <f t="shared" si="0"/>
        <v>202.4</v>
      </c>
      <c r="C17" s="7"/>
      <c r="D17" s="7"/>
      <c r="E17" s="7"/>
      <c r="F17">
        <f t="shared" si="1"/>
        <v>2036.1999999999998</v>
      </c>
    </row>
    <row r="18" spans="1:8" x14ac:dyDescent="0.25">
      <c r="A18">
        <v>400</v>
      </c>
      <c r="B18" s="7">
        <f t="shared" si="0"/>
        <v>214.6</v>
      </c>
      <c r="C18" s="7">
        <f t="shared" ref="C18:C28" si="2">($B$5*$B$7/$A18)+($A18*C$4*$B$6/2)</f>
        <v>203.4</v>
      </c>
      <c r="D18" s="7"/>
      <c r="E18" s="7"/>
      <c r="F18">
        <f t="shared" si="1"/>
        <v>2024</v>
      </c>
      <c r="G18">
        <f t="shared" ref="G18:G28" si="3">52*21*(5.25-C$4)-C18</f>
        <v>2279.8079999999995</v>
      </c>
    </row>
    <row r="19" spans="1:8" x14ac:dyDescent="0.25">
      <c r="A19">
        <v>450</v>
      </c>
      <c r="B19" s="7"/>
      <c r="C19" s="7">
        <f t="shared" si="2"/>
        <v>215.93333333333337</v>
      </c>
      <c r="D19" s="7"/>
      <c r="E19" s="7"/>
      <c r="G19">
        <f t="shared" si="3"/>
        <v>2267.2746666666662</v>
      </c>
    </row>
    <row r="20" spans="1:8" x14ac:dyDescent="0.25">
      <c r="A20">
        <v>500</v>
      </c>
      <c r="B20" s="7"/>
      <c r="C20" s="7">
        <f t="shared" si="2"/>
        <v>229.68000000000004</v>
      </c>
      <c r="D20" s="7"/>
      <c r="E20" s="7"/>
      <c r="G20">
        <f t="shared" si="3"/>
        <v>2253.5279999999998</v>
      </c>
    </row>
    <row r="21" spans="1:8" x14ac:dyDescent="0.25">
      <c r="A21">
        <v>550</v>
      </c>
      <c r="B21" s="7"/>
      <c r="C21" s="7">
        <f t="shared" si="2"/>
        <v>244.30909090909094</v>
      </c>
      <c r="D21" s="7"/>
      <c r="E21" s="7"/>
      <c r="G21">
        <f t="shared" si="3"/>
        <v>2238.8989090909085</v>
      </c>
    </row>
    <row r="22" spans="1:8" x14ac:dyDescent="0.25">
      <c r="A22">
        <v>600</v>
      </c>
      <c r="B22" s="7"/>
      <c r="C22" s="7">
        <f t="shared" si="2"/>
        <v>259.60000000000002</v>
      </c>
      <c r="D22" s="7"/>
      <c r="E22" s="7"/>
      <c r="G22">
        <f t="shared" si="3"/>
        <v>2223.6079999999997</v>
      </c>
    </row>
    <row r="23" spans="1:8" x14ac:dyDescent="0.25">
      <c r="A23">
        <v>650</v>
      </c>
      <c r="B23" s="7"/>
      <c r="C23" s="7">
        <f t="shared" si="2"/>
        <v>275.40000000000003</v>
      </c>
      <c r="D23" s="7"/>
      <c r="E23" s="7"/>
      <c r="G23">
        <f t="shared" si="3"/>
        <v>2207.8079999999995</v>
      </c>
    </row>
    <row r="24" spans="1:8" x14ac:dyDescent="0.25">
      <c r="A24">
        <v>700</v>
      </c>
      <c r="B24" s="7"/>
      <c r="C24" s="7">
        <f t="shared" si="2"/>
        <v>291.60000000000002</v>
      </c>
      <c r="D24" s="7"/>
      <c r="E24" s="7"/>
      <c r="G24">
        <f t="shared" si="3"/>
        <v>2191.6079999999997</v>
      </c>
    </row>
    <row r="25" spans="1:8" x14ac:dyDescent="0.25">
      <c r="A25">
        <v>750</v>
      </c>
      <c r="B25" s="7"/>
      <c r="C25" s="7">
        <f t="shared" si="2"/>
        <v>308.12000000000006</v>
      </c>
      <c r="D25" s="7"/>
      <c r="E25" s="7"/>
      <c r="G25">
        <f t="shared" si="3"/>
        <v>2175.0879999999997</v>
      </c>
    </row>
    <row r="26" spans="1:8" x14ac:dyDescent="0.25">
      <c r="A26">
        <v>800</v>
      </c>
      <c r="B26" s="7"/>
      <c r="C26" s="7">
        <f t="shared" si="2"/>
        <v>324.90000000000003</v>
      </c>
      <c r="D26" s="7"/>
      <c r="E26" s="7"/>
      <c r="G26">
        <f t="shared" si="3"/>
        <v>2158.3079999999995</v>
      </c>
    </row>
    <row r="27" spans="1:8" x14ac:dyDescent="0.25">
      <c r="A27">
        <v>850</v>
      </c>
      <c r="B27" s="7"/>
      <c r="C27" s="7">
        <f t="shared" si="2"/>
        <v>341.89411764705886</v>
      </c>
      <c r="D27" s="7"/>
      <c r="E27" s="7"/>
      <c r="G27">
        <f t="shared" si="3"/>
        <v>2141.3138823529407</v>
      </c>
    </row>
    <row r="28" spans="1:8" x14ac:dyDescent="0.25">
      <c r="A28">
        <v>900</v>
      </c>
      <c r="B28" s="7"/>
      <c r="C28" s="7">
        <f t="shared" si="2"/>
        <v>359.06666666666672</v>
      </c>
      <c r="D28" s="7">
        <f t="shared" ref="D28:D50" si="4">($B$5*$B$7/$A28)+($A28*D$4*$B$6/2)</f>
        <v>348.26666666666671</v>
      </c>
      <c r="E28" s="7"/>
      <c r="G28">
        <f t="shared" si="3"/>
        <v>2124.141333333333</v>
      </c>
      <c r="H28">
        <f t="shared" ref="H28:H50" si="5">52*21*(5.25-D$4)-D28</f>
        <v>2239.7733333333326</v>
      </c>
    </row>
    <row r="29" spans="1:8" x14ac:dyDescent="0.25">
      <c r="A29">
        <v>950</v>
      </c>
      <c r="B29" s="7"/>
      <c r="C29" s="7"/>
      <c r="D29" s="7">
        <f t="shared" si="4"/>
        <v>364.98947368421057</v>
      </c>
      <c r="E29" s="7"/>
      <c r="H29">
        <f t="shared" si="5"/>
        <v>2223.0505263157888</v>
      </c>
    </row>
    <row r="30" spans="1:8" x14ac:dyDescent="0.25">
      <c r="A30">
        <v>1000</v>
      </c>
      <c r="B30" s="7"/>
      <c r="C30" s="7"/>
      <c r="D30" s="7">
        <f t="shared" si="4"/>
        <v>381.84000000000003</v>
      </c>
      <c r="E30" s="7"/>
      <c r="H30">
        <f t="shared" si="5"/>
        <v>2206.1999999999994</v>
      </c>
    </row>
    <row r="31" spans="1:8" x14ac:dyDescent="0.25">
      <c r="A31">
        <v>1050</v>
      </c>
      <c r="B31" s="7"/>
      <c r="C31" s="7"/>
      <c r="D31" s="7">
        <f t="shared" si="4"/>
        <v>398.80000000000007</v>
      </c>
      <c r="E31" s="7"/>
      <c r="H31">
        <f t="shared" si="5"/>
        <v>2189.2399999999993</v>
      </c>
    </row>
    <row r="32" spans="1:8" x14ac:dyDescent="0.25">
      <c r="A32">
        <v>1100</v>
      </c>
      <c r="B32" s="7"/>
      <c r="C32" s="7"/>
      <c r="D32" s="7">
        <f t="shared" si="4"/>
        <v>415.85454545454553</v>
      </c>
      <c r="E32" s="7"/>
      <c r="H32">
        <f t="shared" si="5"/>
        <v>2172.1854545454539</v>
      </c>
    </row>
    <row r="33" spans="1:8" x14ac:dyDescent="0.25">
      <c r="A33">
        <v>1150</v>
      </c>
      <c r="B33" s="7"/>
      <c r="C33" s="7"/>
      <c r="D33" s="7">
        <f t="shared" si="4"/>
        <v>432.99130434782614</v>
      </c>
      <c r="E33" s="7"/>
      <c r="H33">
        <f t="shared" si="5"/>
        <v>2155.0486956521736</v>
      </c>
    </row>
    <row r="34" spans="1:8" x14ac:dyDescent="0.25">
      <c r="A34">
        <v>1200</v>
      </c>
      <c r="B34" s="7"/>
      <c r="C34" s="7"/>
      <c r="D34" s="7">
        <f t="shared" si="4"/>
        <v>450.20000000000005</v>
      </c>
      <c r="E34" s="7"/>
      <c r="H34">
        <f t="shared" si="5"/>
        <v>2137.8399999999992</v>
      </c>
    </row>
    <row r="35" spans="1:8" x14ac:dyDescent="0.25">
      <c r="A35">
        <v>1250</v>
      </c>
      <c r="B35" s="7"/>
      <c r="C35" s="7"/>
      <c r="D35" s="7">
        <f t="shared" si="4"/>
        <v>467.47200000000004</v>
      </c>
      <c r="E35" s="7"/>
      <c r="H35">
        <f t="shared" si="5"/>
        <v>2120.5679999999993</v>
      </c>
    </row>
    <row r="36" spans="1:8" x14ac:dyDescent="0.25">
      <c r="A36">
        <v>1300</v>
      </c>
      <c r="B36" s="7"/>
      <c r="C36" s="7"/>
      <c r="D36" s="7">
        <f t="shared" si="4"/>
        <v>484.80000000000007</v>
      </c>
      <c r="E36" s="7"/>
      <c r="H36">
        <f t="shared" si="5"/>
        <v>2103.2399999999993</v>
      </c>
    </row>
    <row r="37" spans="1:8" x14ac:dyDescent="0.25">
      <c r="A37">
        <v>1350</v>
      </c>
      <c r="B37" s="7"/>
      <c r="C37" s="7"/>
      <c r="D37" s="7">
        <f t="shared" si="4"/>
        <v>502.17777777777781</v>
      </c>
      <c r="E37" s="7"/>
      <c r="H37">
        <f t="shared" si="5"/>
        <v>2085.8622222222216</v>
      </c>
    </row>
    <row r="38" spans="1:8" x14ac:dyDescent="0.25">
      <c r="A38">
        <v>1400</v>
      </c>
      <c r="B38" s="7"/>
      <c r="C38" s="7"/>
      <c r="D38" s="7">
        <f t="shared" si="4"/>
        <v>519.6</v>
      </c>
      <c r="E38" s="7"/>
      <c r="H38">
        <f t="shared" si="5"/>
        <v>2068.4399999999996</v>
      </c>
    </row>
    <row r="39" spans="1:8" x14ac:dyDescent="0.25">
      <c r="A39">
        <v>1450</v>
      </c>
      <c r="B39" s="7"/>
      <c r="C39" s="7"/>
      <c r="D39" s="7">
        <f t="shared" si="4"/>
        <v>537.06206896551737</v>
      </c>
      <c r="E39" s="7"/>
      <c r="H39">
        <f t="shared" si="5"/>
        <v>2050.977931034482</v>
      </c>
    </row>
    <row r="40" spans="1:8" x14ac:dyDescent="0.25">
      <c r="A40">
        <v>1500</v>
      </c>
      <c r="B40" s="7"/>
      <c r="C40" s="7"/>
      <c r="D40" s="7">
        <f t="shared" si="4"/>
        <v>554.56000000000006</v>
      </c>
      <c r="E40" s="7"/>
      <c r="H40">
        <f t="shared" si="5"/>
        <v>2033.4799999999996</v>
      </c>
    </row>
    <row r="41" spans="1:8" x14ac:dyDescent="0.25">
      <c r="A41">
        <v>1550</v>
      </c>
      <c r="B41" s="7"/>
      <c r="C41" s="7"/>
      <c r="D41" s="7">
        <f t="shared" si="4"/>
        <v>572.09032258064531</v>
      </c>
      <c r="E41" s="7"/>
      <c r="H41">
        <f t="shared" si="5"/>
        <v>2015.9496774193542</v>
      </c>
    </row>
    <row r="42" spans="1:8" x14ac:dyDescent="0.25">
      <c r="A42">
        <v>1600</v>
      </c>
      <c r="B42" s="7"/>
      <c r="C42" s="7"/>
      <c r="D42" s="7">
        <f t="shared" si="4"/>
        <v>589.65000000000009</v>
      </c>
      <c r="E42" s="7"/>
      <c r="H42">
        <f t="shared" si="5"/>
        <v>1998.3899999999994</v>
      </c>
    </row>
    <row r="43" spans="1:8" x14ac:dyDescent="0.25">
      <c r="A43">
        <v>1650</v>
      </c>
      <c r="B43" s="7"/>
      <c r="C43" s="7"/>
      <c r="D43" s="7">
        <f t="shared" si="4"/>
        <v>607.23636363636376</v>
      </c>
      <c r="E43" s="7"/>
      <c r="H43">
        <f t="shared" si="5"/>
        <v>1980.8036363636356</v>
      </c>
    </row>
    <row r="44" spans="1:8" x14ac:dyDescent="0.25">
      <c r="A44">
        <v>1700</v>
      </c>
      <c r="B44" s="7"/>
      <c r="C44" s="7"/>
      <c r="D44" s="7">
        <f t="shared" si="4"/>
        <v>624.84705882352955</v>
      </c>
      <c r="E44" s="7"/>
      <c r="H44">
        <f t="shared" si="5"/>
        <v>1963.19294117647</v>
      </c>
    </row>
    <row r="45" spans="1:8" x14ac:dyDescent="0.25">
      <c r="A45">
        <v>1750</v>
      </c>
      <c r="B45" s="7"/>
      <c r="C45" s="7"/>
      <c r="D45" s="7">
        <f t="shared" si="4"/>
        <v>642.48000000000013</v>
      </c>
      <c r="E45" s="7"/>
      <c r="H45">
        <f t="shared" si="5"/>
        <v>1945.5599999999995</v>
      </c>
    </row>
    <row r="46" spans="1:8" x14ac:dyDescent="0.25">
      <c r="A46">
        <v>1800</v>
      </c>
      <c r="B46" s="7"/>
      <c r="C46" s="7"/>
      <c r="D46" s="7">
        <f t="shared" si="4"/>
        <v>660.13333333333344</v>
      </c>
      <c r="E46" s="7"/>
      <c r="H46">
        <f t="shared" si="5"/>
        <v>1927.9066666666661</v>
      </c>
    </row>
    <row r="47" spans="1:8" x14ac:dyDescent="0.25">
      <c r="A47">
        <v>1850</v>
      </c>
      <c r="B47" s="7"/>
      <c r="C47" s="7"/>
      <c r="D47" s="7">
        <f t="shared" si="4"/>
        <v>677.80540540540551</v>
      </c>
      <c r="E47" s="7"/>
      <c r="H47">
        <f t="shared" si="5"/>
        <v>1910.234594594594</v>
      </c>
    </row>
    <row r="48" spans="1:8" x14ac:dyDescent="0.25">
      <c r="A48">
        <v>1900</v>
      </c>
      <c r="B48" s="7"/>
      <c r="C48" s="7"/>
      <c r="D48" s="7">
        <f t="shared" si="4"/>
        <v>695.49473684210534</v>
      </c>
      <c r="E48" s="7"/>
      <c r="H48">
        <f t="shared" si="5"/>
        <v>1892.5452631578942</v>
      </c>
    </row>
    <row r="49" spans="1:9" x14ac:dyDescent="0.25">
      <c r="A49">
        <v>1950</v>
      </c>
      <c r="B49" s="7"/>
      <c r="C49" s="7"/>
      <c r="D49" s="7">
        <f t="shared" si="4"/>
        <v>713.20000000000016</v>
      </c>
      <c r="E49" s="7"/>
      <c r="H49">
        <f t="shared" si="5"/>
        <v>1874.8399999999992</v>
      </c>
    </row>
    <row r="50" spans="1:9" x14ac:dyDescent="0.25">
      <c r="A50">
        <v>2000</v>
      </c>
      <c r="B50" s="7"/>
      <c r="C50" s="7"/>
      <c r="D50" s="7">
        <f t="shared" si="4"/>
        <v>730.92000000000007</v>
      </c>
      <c r="E50" s="7">
        <f t="shared" ref="E50:E59" si="6">($B$5*$B$7/$A50)+($A50*E$4*$B$6/2)</f>
        <v>690.92</v>
      </c>
      <c r="H50">
        <f t="shared" si="5"/>
        <v>1857.1199999999994</v>
      </c>
      <c r="I50">
        <f t="shared" ref="I50:I59" si="7">52*21*(5.25-E$4)-E50</f>
        <v>2071.8399999999997</v>
      </c>
    </row>
    <row r="51" spans="1:9" x14ac:dyDescent="0.25">
      <c r="A51">
        <v>2050</v>
      </c>
      <c r="B51" s="7"/>
      <c r="C51" s="7"/>
      <c r="D51" s="7"/>
      <c r="E51" s="7">
        <f t="shared" si="6"/>
        <v>707.65365853658534</v>
      </c>
      <c r="I51">
        <f t="shared" si="7"/>
        <v>2055.1063414634145</v>
      </c>
    </row>
    <row r="52" spans="1:9" x14ac:dyDescent="0.25">
      <c r="A52">
        <v>2100</v>
      </c>
      <c r="B52" s="7"/>
      <c r="C52" s="7"/>
      <c r="D52" s="7"/>
      <c r="E52" s="7">
        <f t="shared" si="6"/>
        <v>724.4</v>
      </c>
      <c r="I52">
        <f t="shared" si="7"/>
        <v>2038.3599999999997</v>
      </c>
    </row>
    <row r="53" spans="1:9" x14ac:dyDescent="0.25">
      <c r="A53">
        <v>2150</v>
      </c>
      <c r="B53" s="7"/>
      <c r="C53" s="7"/>
      <c r="D53" s="7"/>
      <c r="E53" s="7">
        <f t="shared" si="6"/>
        <v>741.15813953488373</v>
      </c>
      <c r="I53">
        <f t="shared" si="7"/>
        <v>2021.601860465116</v>
      </c>
    </row>
    <row r="54" spans="1:9" x14ac:dyDescent="0.25">
      <c r="A54">
        <v>2200</v>
      </c>
      <c r="B54" s="7"/>
      <c r="C54" s="7"/>
      <c r="D54" s="7"/>
      <c r="E54" s="7">
        <f t="shared" si="6"/>
        <v>757.92727272727268</v>
      </c>
      <c r="I54">
        <f t="shared" si="7"/>
        <v>2004.832727272727</v>
      </c>
    </row>
    <row r="55" spans="1:9" x14ac:dyDescent="0.25">
      <c r="A55">
        <v>2250</v>
      </c>
      <c r="B55" s="7"/>
      <c r="C55" s="7"/>
      <c r="D55" s="7"/>
      <c r="E55" s="7">
        <f t="shared" si="6"/>
        <v>774.70666666666671</v>
      </c>
      <c r="I55">
        <f t="shared" si="7"/>
        <v>1988.0533333333331</v>
      </c>
    </row>
    <row r="56" spans="1:9" x14ac:dyDescent="0.25">
      <c r="A56">
        <v>2300</v>
      </c>
      <c r="B56" s="7"/>
      <c r="C56" s="7"/>
      <c r="D56" s="7"/>
      <c r="E56" s="7">
        <f t="shared" si="6"/>
        <v>791.49565217391307</v>
      </c>
      <c r="I56">
        <f t="shared" si="7"/>
        <v>1971.2643478260866</v>
      </c>
    </row>
    <row r="57" spans="1:9" x14ac:dyDescent="0.25">
      <c r="A57">
        <v>2350</v>
      </c>
      <c r="B57" s="7"/>
      <c r="C57" s="7"/>
      <c r="D57" s="7"/>
      <c r="E57" s="7">
        <f t="shared" si="6"/>
        <v>808.29361702127676</v>
      </c>
      <c r="I57">
        <f t="shared" si="7"/>
        <v>1954.466382978723</v>
      </c>
    </row>
    <row r="58" spans="1:9" x14ac:dyDescent="0.25">
      <c r="A58">
        <v>2400</v>
      </c>
      <c r="B58" s="7"/>
      <c r="C58" s="7"/>
      <c r="D58" s="7"/>
      <c r="E58" s="7">
        <f t="shared" si="6"/>
        <v>825.10000000000014</v>
      </c>
      <c r="I58">
        <f t="shared" si="7"/>
        <v>1937.6599999999996</v>
      </c>
    </row>
    <row r="59" spans="1:9" x14ac:dyDescent="0.25">
      <c r="A59">
        <v>2450</v>
      </c>
      <c r="B59" s="7"/>
      <c r="C59" s="7"/>
      <c r="D59" s="7"/>
      <c r="E59" s="7">
        <f t="shared" si="6"/>
        <v>841.91428571428582</v>
      </c>
      <c r="I59">
        <f t="shared" si="7"/>
        <v>1920.8457142857139</v>
      </c>
    </row>
  </sheetData>
  <phoneticPr fontId="3" type="noConversion"/>
  <pageMargins left="0.75" right="0.75" top="1" bottom="1" header="0.5" footer="0.5"/>
  <headerFooter alignWithMargin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D17"/>
  <sheetViews>
    <sheetView showFormulas="1" workbookViewId="0">
      <selection activeCell="F17" sqref="F17"/>
    </sheetView>
  </sheetViews>
  <sheetFormatPr defaultRowHeight="13.8" x14ac:dyDescent="0.25"/>
  <cols>
    <col min="1" max="2" width="2.77734375" customWidth="1"/>
    <col min="3" max="3" width="11.33203125" customWidth="1"/>
    <col min="4" max="4" width="8.44140625" customWidth="1"/>
  </cols>
  <sheetData>
    <row r="1" spans="3:4" x14ac:dyDescent="0.25">
      <c r="D1" s="47"/>
    </row>
    <row r="2" spans="3:4" x14ac:dyDescent="0.25">
      <c r="D2" s="47"/>
    </row>
    <row r="3" spans="3:4" x14ac:dyDescent="0.25">
      <c r="D3" s="47"/>
    </row>
    <row r="4" spans="3:4" x14ac:dyDescent="0.25">
      <c r="C4" s="67" t="s">
        <v>1</v>
      </c>
      <c r="D4" s="68">
        <v>24000</v>
      </c>
    </row>
    <row r="5" spans="3:4" x14ac:dyDescent="0.25">
      <c r="C5" s="67" t="s">
        <v>55</v>
      </c>
      <c r="D5" s="69">
        <v>35</v>
      </c>
    </row>
    <row r="6" spans="3:4" x14ac:dyDescent="0.25">
      <c r="C6" s="67" t="s">
        <v>56</v>
      </c>
      <c r="D6" s="69">
        <v>50</v>
      </c>
    </row>
    <row r="7" spans="3:4" x14ac:dyDescent="0.25">
      <c r="C7" s="67" t="s">
        <v>22</v>
      </c>
      <c r="D7" s="70">
        <v>0.18</v>
      </c>
    </row>
    <row r="8" spans="3:4" x14ac:dyDescent="0.25">
      <c r="C8" s="71"/>
      <c r="D8" s="72"/>
    </row>
    <row r="9" spans="3:4" x14ac:dyDescent="0.25">
      <c r="C9" s="67" t="s">
        <v>57</v>
      </c>
      <c r="D9" s="73">
        <v>617.21339326645239</v>
      </c>
    </row>
    <row r="10" spans="3:4" x14ac:dyDescent="0.25">
      <c r="C10" s="67"/>
      <c r="D10" s="72"/>
    </row>
    <row r="11" spans="3:4" x14ac:dyDescent="0.25">
      <c r="C11" s="67" t="s">
        <v>58</v>
      </c>
      <c r="D11" s="74">
        <f>D4/D9*D6</f>
        <v>1944.2222302553912</v>
      </c>
    </row>
    <row r="12" spans="3:4" x14ac:dyDescent="0.25">
      <c r="C12" s="67" t="s">
        <v>59</v>
      </c>
      <c r="D12" s="74">
        <f>D9/2*D7*D5</f>
        <v>1944.2221887893249</v>
      </c>
    </row>
    <row r="13" spans="3:4" x14ac:dyDescent="0.25">
      <c r="C13" s="67" t="s">
        <v>23</v>
      </c>
      <c r="D13" s="75">
        <f>SUM(D11:D12)</f>
        <v>3888.4444190447161</v>
      </c>
    </row>
    <row r="14" spans="3:4" x14ac:dyDescent="0.25">
      <c r="D14" s="47"/>
    </row>
    <row r="15" spans="3:4" x14ac:dyDescent="0.25">
      <c r="D15" s="47"/>
    </row>
    <row r="16" spans="3:4" x14ac:dyDescent="0.25">
      <c r="D16" s="47"/>
    </row>
    <row r="17" spans="4:4" x14ac:dyDescent="0.25">
      <c r="D17" s="47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EOQ Introduction</vt:lpstr>
      <vt:lpstr>MetroBank</vt:lpstr>
      <vt:lpstr>EOQ Formulas</vt:lpstr>
      <vt:lpstr>EOQ data table</vt:lpstr>
      <vt:lpstr>QTY Discount</vt:lpstr>
      <vt:lpstr>MetroBankNLP</vt:lpstr>
    </vt:vector>
  </TitlesOfParts>
  <Company>Monash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Betts</dc:creator>
  <cp:lastModifiedBy>Poh Lim</cp:lastModifiedBy>
  <dcterms:created xsi:type="dcterms:W3CDTF">2003-04-29T03:51:46Z</dcterms:created>
  <dcterms:modified xsi:type="dcterms:W3CDTF">2018-08-30T11:56:35Z</dcterms:modified>
</cp:coreProperties>
</file>