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3\"/>
    </mc:Choice>
  </mc:AlternateContent>
  <bookViews>
    <workbookView xWindow="-12" yWindow="-12" windowWidth="9636" windowHeight="5196" firstSheet="3" activeTab="5"/>
  </bookViews>
  <sheets>
    <sheet name="Module1" sheetId="1" state="veryHidden" r:id=""/>
    <sheet name="Production Report" sheetId="2" r:id="rId1"/>
    <sheet name="Answer Report 1" sheetId="7" r:id="rId2"/>
    <sheet name="Sensitivity Report 1" sheetId="8" r:id="rId3"/>
    <sheet name="Limits Report 1" sheetId="9" r:id="rId4"/>
    <sheet name="Production Report (Solution)" sheetId="3" r:id="rId5"/>
  </sheets>
  <definedNames>
    <definedName name="_Regression_Int" localSheetId="1" hidden="1">1</definedName>
    <definedName name="_Regression_Int" localSheetId="5" hidden="1">1</definedName>
    <definedName name="solver_adj" localSheetId="5" hidden="1">'Production Report (Solution)'!$B$5:$C$5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ng" localSheetId="1" hidden="1">2</definedName>
    <definedName name="solver_eng" localSheetId="5" hidden="1">2</definedName>
    <definedName name="solver_est" localSheetId="1" hidden="1">1</definedName>
    <definedName name="solver_est" localSheetId="5" hidden="1">1</definedName>
    <definedName name="solver_ibd" localSheetId="1" hidden="1">2</definedName>
    <definedName name="solver_ibd" localSheetId="5" hidden="1">2</definedName>
    <definedName name="solver_itr" localSheetId="1" hidden="1">1000</definedName>
    <definedName name="solver_itr" localSheetId="5" hidden="1">1000</definedName>
    <definedName name="solver_lhs1" localSheetId="1" hidden="1">'Production Report'!$B$5:$C$5</definedName>
    <definedName name="solver_lhs1" localSheetId="5" hidden="1">'Production Report (Solution)'!$D$9:$D$11</definedName>
    <definedName name="solver_lhs2" localSheetId="1" hidden="1">'Production Report'!$D$9:$D$11</definedName>
    <definedName name="solver_lhs2" localSheetId="5" hidden="1">'Production Report (Solution)'!$B$5:$C$5</definedName>
    <definedName name="solver_lin" localSheetId="1" hidden="1">1</definedName>
    <definedName name="solver_lin" localSheetId="5" hidden="1">1</definedName>
    <definedName name="solver_loc" localSheetId="1" hidden="1">1</definedName>
    <definedName name="solver_loc" localSheetId="5" hidden="1">1</definedName>
    <definedName name="solver_lva" localSheetId="1" hidden="1">2</definedName>
    <definedName name="solver_lva" localSheetId="5" hidden="1">2</definedName>
    <definedName name="solver_mip" localSheetId="1" hidden="1">1000</definedName>
    <definedName name="solver_mip" localSheetId="5" hidden="1">1000</definedName>
    <definedName name="solver_mni" localSheetId="1" hidden="1">30</definedName>
    <definedName name="solver_mni" localSheetId="5" hidden="1">30</definedName>
    <definedName name="solver_mrt" localSheetId="1" hidden="1">0.075</definedName>
    <definedName name="solver_mrt" localSheetId="5" hidden="1">0.075</definedName>
    <definedName name="solver_msl" localSheetId="5" hidden="1">2</definedName>
    <definedName name="solver_neg" localSheetId="1" hidden="1">2</definedName>
    <definedName name="solver_neg" localSheetId="5" hidden="1">1</definedName>
    <definedName name="solver_nod" localSheetId="1" hidden="1">1000</definedName>
    <definedName name="solver_nod" localSheetId="5" hidden="1">1000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fx" localSheetId="1" hidden="1">2</definedName>
    <definedName name="solver_ofx" localSheetId="5" hidden="1">2</definedName>
    <definedName name="solver_opt" localSheetId="5" hidden="1">'Production Report (Solution)'!$D$6</definedName>
    <definedName name="solver_piv" localSheetId="1" hidden="1">0.000001</definedName>
    <definedName name="solver_piv" localSheetId="5" hidden="1">0.000001</definedName>
    <definedName name="solver_pre" localSheetId="1" hidden="1">0.00000001</definedName>
    <definedName name="solver_pre" localSheetId="5" hidden="1">0.00000001</definedName>
    <definedName name="solver_pro" localSheetId="1" hidden="1">2</definedName>
    <definedName name="solver_pro" localSheetId="5" hidden="1">2</definedName>
    <definedName name="solver_rbv" localSheetId="1" hidden="1">1</definedName>
    <definedName name="solver_rbv" localSheetId="5" hidden="1">1</definedName>
    <definedName name="solver_red" localSheetId="1" hidden="1">0.000001</definedName>
    <definedName name="solver_red" localSheetId="5" hidden="1">0.000001</definedName>
    <definedName name="solver_rel1" localSheetId="1" hidden="1">3</definedName>
    <definedName name="solver_rel1" localSheetId="5" hidden="1">1</definedName>
    <definedName name="solver_rel2" localSheetId="1" hidden="1">1</definedName>
    <definedName name="solver_rel2" localSheetId="5" hidden="1">3</definedName>
    <definedName name="solver_reo" localSheetId="1" hidden="1">2</definedName>
    <definedName name="solver_reo" localSheetId="5" hidden="1">2</definedName>
    <definedName name="solver_rep" localSheetId="1" hidden="1">2</definedName>
    <definedName name="solver_rep" localSheetId="5" hidden="1">2</definedName>
    <definedName name="solver_rhs1" localSheetId="1" hidden="1">0</definedName>
    <definedName name="solver_rhs1" localSheetId="5" hidden="1">'Production Report (Solution)'!$E$9:$E$11</definedName>
    <definedName name="solver_rhs2" localSheetId="1" hidden="1">'Production Report'!$E$9:$E$11</definedName>
    <definedName name="solver_rhs2" localSheetId="5" hidden="1">0</definedName>
    <definedName name="solver_rlx" localSheetId="1" hidden="1">2</definedName>
    <definedName name="solver_rlx" localSheetId="5" hidden="1">2</definedName>
    <definedName name="solver_rsd" localSheetId="5" hidden="1">0</definedName>
    <definedName name="solver_scl" localSheetId="1" hidden="1">2</definedName>
    <definedName name="solver_scl" localSheetId="5" hidden="1">2</definedName>
    <definedName name="solver_sho" localSheetId="4" hidden="1">2</definedName>
    <definedName name="solver_sho" localSheetId="1" hidden="1">2</definedName>
    <definedName name="solver_sho" localSheetId="5" hidden="1">2</definedName>
    <definedName name="solver_ssz" localSheetId="1" hidden="1">100</definedName>
    <definedName name="solver_ssz" localSheetId="5" hidden="1">100</definedName>
    <definedName name="solver_std" localSheetId="1" hidden="1">0</definedName>
    <definedName name="solver_std" localSheetId="5" hidden="1">0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1</definedName>
    <definedName name="solver_val" localSheetId="1" hidden="1">0</definedName>
    <definedName name="solver_val" localSheetId="5" hidden="1">0</definedName>
    <definedName name="solver_ver" localSheetId="1" hidden="1">2</definedName>
    <definedName name="solver_ver" localSheetId="5" hidden="1">3</definedName>
  </definedNames>
  <calcPr calcId="162913"/>
</workbook>
</file>

<file path=xl/calcChain.xml><?xml version="1.0" encoding="utf-8"?>
<calcChain xmlns="http://schemas.openxmlformats.org/spreadsheetml/2006/main">
  <c r="D11" i="3" l="1"/>
  <c r="D10" i="3"/>
  <c r="D9" i="3"/>
  <c r="D6" i="3"/>
  <c r="D10" i="2"/>
  <c r="D11" i="2"/>
  <c r="D9" i="2"/>
  <c r="D6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<sst xmlns="http://schemas.openxmlformats.org/spreadsheetml/2006/main" count="151" uniqueCount="76">
  <si>
    <t/>
  </si>
  <si>
    <t>Aqua-Spas</t>
  </si>
  <si>
    <t>Hydro-Luxes</t>
  </si>
  <si>
    <t>Used</t>
  </si>
  <si>
    <t>Available</t>
  </si>
  <si>
    <t>Unit Profits</t>
  </si>
  <si>
    <t>Constraints</t>
  </si>
  <si>
    <t>Total Profit</t>
  </si>
  <si>
    <t>Number to Make</t>
  </si>
  <si>
    <t xml:space="preserve">   Pumps Req'd</t>
  </si>
  <si>
    <t xml:space="preserve">   Labor Req'd</t>
  </si>
  <si>
    <t xml:space="preserve">   Tubing Req'd</t>
  </si>
  <si>
    <t>LHS</t>
  </si>
  <si>
    <t>RHS</t>
  </si>
  <si>
    <t>Microsoft Excel 16.0 Answer Report</t>
  </si>
  <si>
    <t>Result: Solver found a solution.  All Constraints and optimality conditions are satisfied.</t>
  </si>
  <si>
    <t>Solver Engine</t>
  </si>
  <si>
    <t>Engine: Simplex LP</t>
  </si>
  <si>
    <t>Iterations: 2 Subproblems: 0</t>
  </si>
  <si>
    <t>Solver Options</t>
  </si>
  <si>
    <t>Max Time 100 sec,  Iterations 1000, Precision 0.00000001</t>
  </si>
  <si>
    <t>Max Subproblems 1000, Max Integer Sols 1000, Integer Tolerance 5%, Assume NonNegative</t>
  </si>
  <si>
    <t>Objective Cell (Max)</t>
  </si>
  <si>
    <t>Cell</t>
  </si>
  <si>
    <t>Name</t>
  </si>
  <si>
    <t>Original Value</t>
  </si>
  <si>
    <t>Final Value</t>
  </si>
  <si>
    <t>Variable Cells</t>
  </si>
  <si>
    <t>Integer</t>
  </si>
  <si>
    <t>Cell Value</t>
  </si>
  <si>
    <t>Formula</t>
  </si>
  <si>
    <t>Status</t>
  </si>
  <si>
    <t>Slack</t>
  </si>
  <si>
    <t>$D$6</t>
  </si>
  <si>
    <t>Unit Profits Total Profit</t>
  </si>
  <si>
    <t>$B$5</t>
  </si>
  <si>
    <t>Number to Make Aqua-Spas</t>
  </si>
  <si>
    <t>Contin</t>
  </si>
  <si>
    <t>$C$5</t>
  </si>
  <si>
    <t>Number to Make Hydro-Luxes</t>
  </si>
  <si>
    <t>$D$9</t>
  </si>
  <si>
    <t xml:space="preserve">   Pumps Req'd Used</t>
  </si>
  <si>
    <t>$D$9&lt;=$E$9</t>
  </si>
  <si>
    <t>Binding</t>
  </si>
  <si>
    <t>$D$10</t>
  </si>
  <si>
    <t xml:space="preserve">   Labor Req'd Used</t>
  </si>
  <si>
    <t>$D$10&lt;=$E$10</t>
  </si>
  <si>
    <t>$D$11</t>
  </si>
  <si>
    <t xml:space="preserve">   Tubing Req'd Used</t>
  </si>
  <si>
    <t>$D$11&lt;=$E$11</t>
  </si>
  <si>
    <t>Not Binding</t>
  </si>
  <si>
    <t>$B$5&gt;=0</t>
  </si>
  <si>
    <t>$C$5&gt;=0</t>
  </si>
  <si>
    <t>Microsoft Excel 16.0 Sensitivity Report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</si>
  <si>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</si>
  <si>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</si>
  <si>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</si>
  <si>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</si>
  <si>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</si>
  <si>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</si>
  <si>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</si>
  <si>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</si>
  <si>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</si>
  <si>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</si>
  <si>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</si>
  <si>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Constraint</t>
  </si>
  <si>
    <t>R.H. Side</t>
  </si>
  <si>
    <t>Microsoft Excel 16.0 Limits Report</t>
  </si>
  <si>
    <t>Variable</t>
  </si>
  <si>
    <t>Lower</t>
  </si>
  <si>
    <t>Limit</t>
  </si>
  <si>
    <t>Result</t>
  </si>
  <si>
    <t>Upper</t>
  </si>
  <si>
    <t>Worksheet: [Lecture 3.xlsm]Production Report (Solution)</t>
  </si>
  <si>
    <t>Report Created: 4/08/2018 12:24:15 AM</t>
  </si>
  <si>
    <t>Solution Time: 0.015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</si>
</sst>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5" formatCode="&quot;$&quot;#,##0;\-&quot;$&quot;#,##0"/>
    <numFmt numFmtId="164" formatCode="&quot;$&quot;#,##0_);\(&quot;$&quot;#,##0\)"/>
    <numFmt numFmtId="165" formatCode="General_)"/>
    <numFmt numFmtId="166" formatCode="0_)"/>
  </numFmts>
  <fonts count="13" x14ac:knownFonts="1">
    <font>
      <sz val="10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165" fontId="0" fillId="0" borderId="0"/>
  </cellStyleXfs>
  <cellXfs count="31">
    <xf numFmtId="165" fontId="0" fillId="0" borderId="0" xfId="0"/>
    <xf numFmtId="165" fontId="2" fillId="0" borderId="0" xfId="0" applyNumberFormat="1" applyFont="1" applyProtection="1">
      <protection locked="0"/>
    </xf>
    <xf numFmtId="165" fontId="0" fillId="0" borderId="0" xfId="0" applyNumberFormat="1" applyProtection="1"/>
    <xf numFmtId="165" fontId="0" fillId="0" borderId="0" xfId="0" applyNumberFormat="1" applyAlignment="1" applyProtection="1">
      <alignment horizontal="left"/>
    </xf>
    <xf numFmtId="165" fontId="3" fillId="0" borderId="0" xfId="0" applyFont="1"/>
    <xf numFmtId="165" fontId="4" fillId="0" borderId="0" xfId="0" applyFont="1" applyAlignment="1" applyProtection="1">
      <alignment horizontal="center"/>
    </xf>
    <xf numFmtId="165" fontId="4" fillId="0" borderId="0" xfId="0" applyFont="1" applyAlignment="1" applyProtection="1">
      <alignment horizontal="left"/>
    </xf>
    <xf numFmtId="165" fontId="3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/>
    </xf>
    <xf numFmtId="165" fontId="1" fillId="0" borderId="0" xfId="0" applyFont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65" fontId="0" fillId="0" borderId="0" xfId="0" applyFill="1" applyBorder="1"/>
    <xf numFmtId="164" fontId="6" fillId="2" borderId="1" xfId="0" applyNumberFormat="1" applyFont="1" applyFill="1" applyBorder="1" applyAlignment="1" applyProtection="1">
      <alignment horizontal="center"/>
    </xf>
    <xf numFmtId="166" fontId="7" fillId="2" borderId="2" xfId="0" applyNumberFormat="1" applyFont="1" applyFill="1" applyBorder="1" applyAlignment="1" applyProtection="1">
      <alignment horizontal="center"/>
    </xf>
    <xf numFmtId="37" fontId="8" fillId="2" borderId="3" xfId="0" applyNumberFormat="1" applyFont="1" applyFill="1" applyBorder="1" applyAlignment="1" applyProtection="1">
      <alignment horizontal="center"/>
    </xf>
    <xf numFmtId="165" fontId="3" fillId="0" borderId="0" xfId="0" applyFont="1" applyFill="1" applyBorder="1" applyAlignment="1">
      <alignment horizontal="centerContinuous" vertical="center"/>
    </xf>
    <xf numFmtId="165" fontId="9" fillId="0" borderId="0" xfId="0" applyFont="1" applyFill="1" applyBorder="1" applyAlignment="1">
      <alignment horizontal="centerContinuous"/>
    </xf>
    <xf numFmtId="165" fontId="10" fillId="0" borderId="0" xfId="0" applyFont="1"/>
    <xf numFmtId="165" fontId="4" fillId="0" borderId="0" xfId="0" applyFont="1"/>
    <xf numFmtId="165" fontId="4" fillId="0" borderId="4" xfId="0" applyFont="1" applyBorder="1" applyAlignment="1">
      <alignment horizontal="center"/>
    </xf>
    <xf numFmtId="164" fontId="4" fillId="0" borderId="4" xfId="0" applyNumberFormat="1" applyFont="1" applyBorder="1" applyAlignment="1" applyProtection="1">
      <alignment horizontal="center"/>
    </xf>
    <xf numFmtId="165" fontId="1" fillId="0" borderId="0" xfId="0" applyFont="1"/>
    <xf numFmtId="165" fontId="0" fillId="0" borderId="8" xfId="0" applyFill="1" applyBorder="1" applyAlignment="1"/>
    <xf numFmtId="165" fontId="12" fillId="0" borderId="7" xfId="0" applyFont="1" applyFill="1" applyBorder="1" applyAlignment="1">
      <alignment horizontal="center"/>
    </xf>
    <xf numFmtId="165" fontId="0" fillId="0" borderId="9" xfId="0" applyFill="1" applyBorder="1" applyAlignment="1"/>
    <xf numFmtId="5" fontId="0" fillId="0" borderId="8" xfId="0" applyNumberFormat="1" applyFill="1" applyBorder="1" applyAlignment="1"/>
    <xf numFmtId="166" fontId="0" fillId="0" borderId="9" xfId="0" applyNumberFormat="1" applyFill="1" applyBorder="1" applyAlignment="1"/>
    <xf numFmtId="166" fontId="0" fillId="0" borderId="8" xfId="0" applyNumberFormat="1" applyFill="1" applyBorder="1" applyAlignment="1"/>
    <xf numFmtId="37" fontId="0" fillId="0" borderId="9" xfId="0" applyNumberFormat="1" applyFill="1" applyBorder="1" applyAlignment="1"/>
    <xf numFmtId="165" fontId="12" fillId="0" borderId="5" xfId="0" applyFont="1" applyFill="1" applyBorder="1" applyAlignment="1">
      <alignment horizontal="center"/>
    </xf>
    <xf numFmtId="165" fontId="12" fillId="0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114271</xdr:colOff>
      <xdr:row>2</xdr:row>
      <xdr:rowOff>76200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131445</xdr:colOff>
      <xdr:row>14</xdr:row>
      <xdr:rowOff>19050</xdr:rowOff>
    </xdr:from>
    <xdr:to>
      <xdr:col>2</xdr:col>
      <xdr:colOff>651506</xdr:colOff>
      <xdr:row>18</xdr:row>
      <xdr:rowOff>131477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123825" y="2362200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             B5:C5&gt;=0</a:t>
          </a:r>
        </a:p>
      </xdr:txBody>
    </xdr:sp>
    <xdr:clientData/>
  </xdr:twoCellAnchor>
  <xdr:twoCellAnchor editAs="oneCell">
    <xdr:from>
      <xdr:col>1</xdr:col>
      <xdr:colOff>7620</xdr:colOff>
      <xdr:row>11</xdr:row>
      <xdr:rowOff>45720</xdr:rowOff>
    </xdr:from>
    <xdr:to>
      <xdr:col>5</xdr:col>
      <xdr:colOff>350520</xdr:colOff>
      <xdr:row>27</xdr:row>
      <xdr:rowOff>76200</xdr:rowOff>
    </xdr:to>
    <xdr:pic>
      <xdr:nvPicPr>
        <xdr:cNvPr id="1047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20" t="27089" r="16309" b="19812"/>
        <a:stretch>
          <a:fillRect/>
        </a:stretch>
      </xdr:blipFill>
      <xdr:spPr bwMode="auto">
        <a:xfrm>
          <a:off x="1150620" y="1950720"/>
          <a:ext cx="3581400" cy="2712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1051560</xdr:colOff>
      <xdr:row>0</xdr:row>
      <xdr:rowOff>95250</xdr:rowOff>
    </xdr:from>
    <xdr:to>
      <xdr:col>3</xdr:col>
      <xdr:colOff>114271</xdr:colOff>
      <xdr:row>2</xdr:row>
      <xdr:rowOff>76200</xdr:rowOff>
    </xdr:to>
    <xdr:sp macro="[0]!Toggle" textlink="">
      <xdr:nvSpPr>
        <xdr:cNvPr id="2" name="Text 2"/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131445</xdr:colOff>
      <xdr:row>14</xdr:row>
      <xdr:rowOff>19050</xdr:rowOff>
    </xdr:from>
    <xdr:to>
      <xdr:col>2</xdr:col>
      <xdr:colOff>651506</xdr:colOff>
      <xdr:row>18</xdr:row>
      <xdr:rowOff>131477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123825" y="2362200"/>
          <a:ext cx="2486025" cy="7524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Maximize:    D6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By changing: B5:C5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Subject to:  D9:D11&lt;=E9:E11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Courier New"/>
              <a:cs typeface="Courier New"/>
            </a:rPr>
            <a:t>             B5:C5&gt;=0</a:t>
          </a:r>
        </a:p>
      </xdr:txBody>
    </xdr:sp>
    <xdr:clientData/>
  </xdr:twoCellAnchor>
  <xdr:twoCellAnchor editAs="oneCell">
    <xdr:from>
      <xdr:col>5</xdr:col>
      <xdr:colOff>547370</xdr:colOff>
      <xdr:row>1</xdr:row>
      <xdr:rowOff>58420</xdr:rowOff>
    </xdr:from>
    <xdr:to>
      <xdr:col>11</xdr:col>
      <xdr:colOff>160020</xdr:colOff>
      <xdr:row>17</xdr:row>
      <xdr:rowOff>12700</xdr:rowOff>
    </xdr:to>
    <xdr:pic>
      <xdr:nvPicPr>
        <xdr:cNvPr id="3081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20" t="27089" r="16309" b="19812"/>
        <a:stretch>
          <a:fillRect/>
        </a:stretch>
      </xdr:blipFill>
      <xdr:spPr bwMode="auto">
        <a:xfrm>
          <a:off x="4922520" y="223520"/>
          <a:ext cx="3575050" cy="2672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2:N17"/>
  <sheetViews>
    <sheetView zoomScale="120" workbookViewId="0">
      <selection activeCell="H17" sqref="H17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5"/>
      <c r="C2" s="16"/>
      <c r="D2" s="17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8" t="s">
        <v>8</v>
      </c>
      <c r="B5" s="13">
        <v>0</v>
      </c>
      <c r="C5" s="13">
        <v>0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8">
        <v>350</v>
      </c>
      <c r="C6" s="8">
        <v>300</v>
      </c>
      <c r="D6" s="12">
        <f>SUMPRODUCT($B$5:$C$5,B6:C6)</f>
        <v>0</v>
      </c>
      <c r="E6" s="4"/>
      <c r="F6" s="2"/>
      <c r="G6" s="2"/>
      <c r="H6" s="2"/>
      <c r="I6" s="1"/>
    </row>
    <row r="7" spans="1:14" ht="14.4" thickTop="1" thickBot="1" x14ac:dyDescent="0.3">
      <c r="B7" s="7"/>
      <c r="C7" s="7"/>
      <c r="D7" s="19" t="s">
        <v>12</v>
      </c>
      <c r="E7" s="20" t="s">
        <v>13</v>
      </c>
      <c r="F7" s="2"/>
      <c r="G7" s="2"/>
      <c r="H7" s="2"/>
      <c r="I7" s="1"/>
    </row>
    <row r="8" spans="1:14" x14ac:dyDescent="0.25">
      <c r="A8" s="6" t="s">
        <v>6</v>
      </c>
      <c r="B8" s="7"/>
      <c r="C8" s="7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9</v>
      </c>
      <c r="B9" s="9">
        <v>1</v>
      </c>
      <c r="C9" s="9">
        <v>1</v>
      </c>
      <c r="D9" s="14">
        <f>SUMPRODUCT($B$5:$C$5,B9:C9)</f>
        <v>0</v>
      </c>
      <c r="E9" s="10">
        <v>200</v>
      </c>
      <c r="F9" s="1"/>
      <c r="G9" s="1"/>
      <c r="H9" s="1"/>
    </row>
    <row r="10" spans="1:14" x14ac:dyDescent="0.25">
      <c r="A10" s="6" t="s">
        <v>10</v>
      </c>
      <c r="B10" s="9">
        <v>9</v>
      </c>
      <c r="C10" s="9">
        <v>6</v>
      </c>
      <c r="D10" s="14">
        <f>SUMPRODUCT($B$5:$C$5,B10:C10)</f>
        <v>0</v>
      </c>
      <c r="E10" s="9">
        <v>1566</v>
      </c>
    </row>
    <row r="11" spans="1:14" x14ac:dyDescent="0.25">
      <c r="A11" s="6" t="s">
        <v>11</v>
      </c>
      <c r="B11" s="9">
        <v>12</v>
      </c>
      <c r="C11" s="9">
        <v>16</v>
      </c>
      <c r="D11" s="14">
        <f>SUMPRODUCT($B$5:$C$5,B11:C11)</f>
        <v>0</v>
      </c>
      <c r="E11" s="9">
        <v>2880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1"/>
    </row>
    <row r="14" spans="1:14" x14ac:dyDescent="0.25">
      <c r="B14" s="2"/>
      <c r="C14" s="2"/>
      <c r="D14" s="2"/>
      <c r="F14" s="11"/>
    </row>
    <row r="15" spans="1:14" x14ac:dyDescent="0.25">
      <c r="B15" s="2"/>
      <c r="C15" s="2"/>
      <c r="D15" s="2"/>
      <c r="F15" s="11"/>
    </row>
    <row r="16" spans="1:14" x14ac:dyDescent="0.25">
      <c r="B16" s="2"/>
      <c r="C16" s="2"/>
      <c r="D16" s="2"/>
      <c r="F16" s="11"/>
    </row>
    <row r="17" spans="2:4" x14ac:dyDescent="0.25">
      <c r="B17" s="1"/>
      <c r="C17" s="1"/>
      <c r="D17" s="1"/>
    </row>
  </sheetData>
  <phoneticPr fontId="11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showGridLines="0" workbookViewId="0"/>
  </sheetViews>
  <sheetFormatPr defaultRowHeight="13.2" x14ac:dyDescent="0.25"/>
  <cols>
    <col min="1" max="1" width="2.33203125" customWidth="1"/>
    <col min="2" max="2" width="6.33203125" customWidth="1"/>
    <col min="3" max="3" width="25.44140625" customWidth="1"/>
    <col min="4" max="4" width="13.21875" bestFit="1" customWidth="1"/>
    <col min="5" max="5" width="13.88671875" bestFit="1" customWidth="1"/>
    <col min="6" max="6" width="10.33203125" customWidth="1"/>
    <col min="7" max="7" width="5.6640625" customWidth="1"/>
  </cols>
  <sheetData>
    <row r="1" spans="1:5" x14ac:dyDescent="0.25">
      <c r="A1" s="21" t="s">
        <v>14</v>
      </c>
    </row>
    <row r="2" spans="1:5" x14ac:dyDescent="0.25">
      <c r="A2" s="21" t="s">
        <v>73</v>
      </c>
    </row>
    <row r="3" spans="1:5" x14ac:dyDescent="0.25">
      <c r="A3" s="21" t="s">
        <v>74</v>
      </c>
    </row>
    <row r="4" spans="1:5" x14ac:dyDescent="0.25">
      <c r="A4" s="21" t="s">
        <v>15</v>
      </c>
    </row>
    <row r="5" spans="1:5" x14ac:dyDescent="0.25">
      <c r="A5" s="21" t="s">
        <v>16</v>
      </c>
    </row>
    <row r="6" spans="1:5" x14ac:dyDescent="0.25">
      <c r="A6" s="21"/>
      <c r="B6" t="s">
        <v>17</v>
      </c>
    </row>
    <row r="7" spans="1:5" x14ac:dyDescent="0.25">
      <c r="A7" s="21"/>
      <c r="B7" t="s">
        <v>75</v>
      </c>
    </row>
    <row r="8" spans="1:5" x14ac:dyDescent="0.25">
      <c r="A8" s="21"/>
      <c r="B8" t="s">
        <v>18</v>
      </c>
    </row>
    <row r="9" spans="1:5" x14ac:dyDescent="0.25">
      <c r="A9" s="21" t="s">
        <v>19</v>
      </c>
    </row>
    <row r="10" spans="1:5" x14ac:dyDescent="0.25">
      <c r="B10" t="s">
        <v>20</v>
      </c>
    </row>
    <row r="11" spans="1:5" x14ac:dyDescent="0.25">
      <c r="B11" t="s">
        <v>21</v>
      </c>
    </row>
    <row r="14" spans="1:5" ht="13.8" thickBot="1" x14ac:dyDescent="0.3">
      <c r="A14" t="s">
        <v>22</v>
      </c>
    </row>
    <row r="15" spans="1:5" ht="13.8" thickBot="1" x14ac:dyDescent="0.3">
      <c r="B15" s="23" t="s">
        <v>23</v>
      </c>
      <c r="C15" s="23" t="s">
        <v>24</v>
      </c>
      <c r="D15" s="23" t="s">
        <v>25</v>
      </c>
      <c r="E15" s="23" t="s">
        <v>26</v>
      </c>
    </row>
    <row r="16" spans="1:5" ht="13.8" thickBot="1" x14ac:dyDescent="0.3">
      <c r="B16" s="22" t="s">
        <v>33</v>
      </c>
      <c r="C16" s="22" t="s">
        <v>34</v>
      </c>
      <c r="D16" s="25">
        <v>66100</v>
      </c>
      <c r="E16" s="25">
        <v>66100</v>
      </c>
    </row>
    <row r="19" spans="1:7" ht="13.8" thickBot="1" x14ac:dyDescent="0.3">
      <c r="A19" t="s">
        <v>27</v>
      </c>
    </row>
    <row r="20" spans="1:7" ht="13.8" thickBot="1" x14ac:dyDescent="0.3">
      <c r="B20" s="23" t="s">
        <v>23</v>
      </c>
      <c r="C20" s="23" t="s">
        <v>24</v>
      </c>
      <c r="D20" s="23" t="s">
        <v>25</v>
      </c>
      <c r="E20" s="23" t="s">
        <v>26</v>
      </c>
      <c r="F20" s="23" t="s">
        <v>28</v>
      </c>
    </row>
    <row r="21" spans="1:7" x14ac:dyDescent="0.25">
      <c r="B21" s="24" t="s">
        <v>35</v>
      </c>
      <c r="C21" s="24" t="s">
        <v>36</v>
      </c>
      <c r="D21" s="26">
        <v>122.00000000000001</v>
      </c>
      <c r="E21" s="26">
        <v>122.00000000000001</v>
      </c>
      <c r="F21" s="24" t="s">
        <v>37</v>
      </c>
    </row>
    <row r="22" spans="1:7" ht="13.8" thickBot="1" x14ac:dyDescent="0.3">
      <c r="B22" s="22" t="s">
        <v>38</v>
      </c>
      <c r="C22" s="22" t="s">
        <v>39</v>
      </c>
      <c r="D22" s="27">
        <v>77.999999999999986</v>
      </c>
      <c r="E22" s="27">
        <v>77.999999999999986</v>
      </c>
      <c r="F22" s="22" t="s">
        <v>37</v>
      </c>
    </row>
    <row r="25" spans="1:7" ht="13.8" thickBot="1" x14ac:dyDescent="0.3">
      <c r="A25" t="s">
        <v>6</v>
      </c>
    </row>
    <row r="26" spans="1:7" ht="13.8" thickBot="1" x14ac:dyDescent="0.3">
      <c r="B26" s="23" t="s">
        <v>23</v>
      </c>
      <c r="C26" s="23" t="s">
        <v>24</v>
      </c>
      <c r="D26" s="23" t="s">
        <v>29</v>
      </c>
      <c r="E26" s="23" t="s">
        <v>30</v>
      </c>
      <c r="F26" s="23" t="s">
        <v>31</v>
      </c>
      <c r="G26" s="23" t="s">
        <v>32</v>
      </c>
    </row>
    <row r="27" spans="1:7" x14ac:dyDescent="0.25">
      <c r="B27" s="24" t="s">
        <v>40</v>
      </c>
      <c r="C27" s="24" t="s">
        <v>41</v>
      </c>
      <c r="D27" s="28">
        <v>200</v>
      </c>
      <c r="E27" s="24" t="s">
        <v>42</v>
      </c>
      <c r="F27" s="24" t="s">
        <v>43</v>
      </c>
      <c r="G27" s="24">
        <v>0</v>
      </c>
    </row>
    <row r="28" spans="1:7" x14ac:dyDescent="0.25">
      <c r="B28" s="24" t="s">
        <v>44</v>
      </c>
      <c r="C28" s="24" t="s">
        <v>45</v>
      </c>
      <c r="D28" s="28">
        <v>1566</v>
      </c>
      <c r="E28" s="24" t="s">
        <v>46</v>
      </c>
      <c r="F28" s="24" t="s">
        <v>43</v>
      </c>
      <c r="G28" s="24">
        <v>0</v>
      </c>
    </row>
    <row r="29" spans="1:7" x14ac:dyDescent="0.25">
      <c r="B29" s="24" t="s">
        <v>47</v>
      </c>
      <c r="C29" s="24" t="s">
        <v>48</v>
      </c>
      <c r="D29" s="28">
        <v>2712</v>
      </c>
      <c r="E29" s="24" t="s">
        <v>49</v>
      </c>
      <c r="F29" s="24" t="s">
        <v>50</v>
      </c>
      <c r="G29" s="24">
        <v>168</v>
      </c>
    </row>
    <row r="30" spans="1:7" x14ac:dyDescent="0.25">
      <c r="B30" s="24" t="s">
        <v>35</v>
      </c>
      <c r="C30" s="24" t="s">
        <v>36</v>
      </c>
      <c r="D30" s="26">
        <v>122.00000000000001</v>
      </c>
      <c r="E30" s="24" t="s">
        <v>51</v>
      </c>
      <c r="F30" s="24" t="s">
        <v>50</v>
      </c>
      <c r="G30" s="26">
        <v>122.00000000000001</v>
      </c>
    </row>
    <row r="31" spans="1:7" ht="13.8" thickBot="1" x14ac:dyDescent="0.3">
      <c r="B31" s="22" t="s">
        <v>38</v>
      </c>
      <c r="C31" s="22" t="s">
        <v>39</v>
      </c>
      <c r="D31" s="27">
        <v>77.999999999999986</v>
      </c>
      <c r="E31" s="22" t="s">
        <v>52</v>
      </c>
      <c r="F31" s="22" t="s">
        <v>50</v>
      </c>
      <c r="G31" s="27">
        <v>77.999999999999986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showGridLines="0" workbookViewId="0">
      <selection activeCell="I25" sqref="I25"/>
    </sheetView>
  </sheetViews>
  <sheetFormatPr defaultRowHeight="13.2" x14ac:dyDescent="0.25"/>
  <cols>
    <col min="1" max="1" width="2.33203125" customWidth="1"/>
    <col min="2" max="2" width="6.33203125" bestFit="1" customWidth="1"/>
    <col min="3" max="3" width="25.44140625" bestFit="1" customWidth="1"/>
    <col min="4" max="4" width="5.77734375" customWidth="1"/>
    <col min="5" max="5" width="8.6640625" bestFit="1" customWidth="1"/>
    <col min="6" max="6" width="10.21875" bestFit="1" customWidth="1"/>
    <col min="7" max="8" width="9.21875" bestFit="1" customWidth="1"/>
  </cols>
  <sheetData>
    <row r="1" spans="1:8" x14ac:dyDescent="0.25">
      <c r="A1" s="21" t="s">
        <v>53</v>
      </c>
    </row>
    <row r="2" spans="1:8" x14ac:dyDescent="0.25">
      <c r="A2" s="21" t="s">
        <v>73</v>
      </c>
    </row>
    <row r="3" spans="1:8" x14ac:dyDescent="0.25">
      <c r="A3" s="21" t="s">
        <v>74</v>
      </c>
    </row>
    <row r="6" spans="1:8" ht="13.8" thickBot="1" x14ac:dyDescent="0.3">
      <c r="A6" t="s">
        <v>27</v>
      </c>
    </row>
    <row r="7" spans="1:8" x14ac:dyDescent="0.25">
      <c r="B7" s="29"/>
      <c r="C7" s="29"/>
      <c r="D7" s="29" t="s">
        <v>54</v>
      </c>
      <c r="E7" s="29" t="s">
        <v>56</v>
      </c>
      <c r="F7" s="29" t="s">
        <v>58</v>
      </c>
      <c r="G7" s="29" t="s">
        <v>60</v>
      </c>
      <c r="H7" s="29" t="s">
        <v>60</v>
      </c>
    </row>
    <row r="8" spans="1:8" ht="13.8" thickBot="1" x14ac:dyDescent="0.3">
      <c r="B8" s="30" t="s">
        <v>23</v>
      </c>
      <c r="C8" s="30" t="s">
        <v>24</v>
      </c>
      <c r="D8" s="30" t="s">
        <v>55</v>
      </c>
      <c r="E8" s="30" t="s">
        <v>57</v>
      </c>
      <c r="F8" s="30" t="s">
        <v>59</v>
      </c>
      <c r="G8" s="30" t="s">
        <v>61</v>
      </c>
      <c r="H8" s="30" t="s">
        <v>62</v>
      </c>
    </row>
    <row r="9" spans="1:8" x14ac:dyDescent="0.25">
      <c r="B9" s="24" t="s">
        <v>35</v>
      </c>
      <c r="C9" s="24" t="s">
        <v>36</v>
      </c>
      <c r="D9" s="24">
        <v>122.00000000000001</v>
      </c>
      <c r="E9" s="24">
        <v>0</v>
      </c>
      <c r="F9" s="24">
        <v>350</v>
      </c>
      <c r="G9" s="24">
        <v>100.00000000000004</v>
      </c>
      <c r="H9" s="24">
        <v>49.999999999999993</v>
      </c>
    </row>
    <row r="10" spans="1:8" ht="13.8" thickBot="1" x14ac:dyDescent="0.3">
      <c r="B10" s="22" t="s">
        <v>38</v>
      </c>
      <c r="C10" s="22" t="s">
        <v>39</v>
      </c>
      <c r="D10" s="22">
        <v>77.999999999999986</v>
      </c>
      <c r="E10" s="22">
        <v>0</v>
      </c>
      <c r="F10" s="22">
        <v>300</v>
      </c>
      <c r="G10" s="22">
        <v>49.999999999999993</v>
      </c>
      <c r="H10" s="22">
        <v>66.666666666666686</v>
      </c>
    </row>
    <row r="12" spans="1:8" ht="13.8" thickBot="1" x14ac:dyDescent="0.3">
      <c r="A12" t="s">
        <v>6</v>
      </c>
    </row>
    <row r="13" spans="1:8" x14ac:dyDescent="0.25">
      <c r="B13" s="29"/>
      <c r="C13" s="29"/>
      <c r="D13" s="29" t="s">
        <v>54</v>
      </c>
      <c r="E13" s="29" t="s">
        <v>63</v>
      </c>
      <c r="F13" s="29" t="s">
        <v>65</v>
      </c>
      <c r="G13" s="29" t="s">
        <v>60</v>
      </c>
      <c r="H13" s="29" t="s">
        <v>60</v>
      </c>
    </row>
    <row r="14" spans="1:8" ht="13.8" thickBot="1" x14ac:dyDescent="0.3">
      <c r="B14" s="30" t="s">
        <v>23</v>
      </c>
      <c r="C14" s="30" t="s">
        <v>24</v>
      </c>
      <c r="D14" s="30" t="s">
        <v>55</v>
      </c>
      <c r="E14" s="30" t="s">
        <v>64</v>
      </c>
      <c r="F14" s="30" t="s">
        <v>66</v>
      </c>
      <c r="G14" s="30" t="s">
        <v>61</v>
      </c>
      <c r="H14" s="30" t="s">
        <v>62</v>
      </c>
    </row>
    <row r="15" spans="1:8" x14ac:dyDescent="0.25">
      <c r="B15" s="24" t="s">
        <v>40</v>
      </c>
      <c r="C15" s="24" t="s">
        <v>41</v>
      </c>
      <c r="D15" s="24">
        <v>200</v>
      </c>
      <c r="E15" s="24">
        <v>200.00000000000003</v>
      </c>
      <c r="F15" s="24">
        <v>200</v>
      </c>
      <c r="G15" s="24">
        <v>7.0000000000000062</v>
      </c>
      <c r="H15" s="24">
        <v>26</v>
      </c>
    </row>
    <row r="16" spans="1:8" x14ac:dyDescent="0.25">
      <c r="B16" s="24" t="s">
        <v>44</v>
      </c>
      <c r="C16" s="24" t="s">
        <v>45</v>
      </c>
      <c r="D16" s="24">
        <v>1566</v>
      </c>
      <c r="E16" s="24">
        <v>16.666666666666661</v>
      </c>
      <c r="F16" s="24">
        <v>1566</v>
      </c>
      <c r="G16" s="24">
        <v>234</v>
      </c>
      <c r="H16" s="24">
        <v>126.00000000000013</v>
      </c>
    </row>
    <row r="17" spans="2:8" ht="13.8" thickBot="1" x14ac:dyDescent="0.3">
      <c r="B17" s="22" t="s">
        <v>47</v>
      </c>
      <c r="C17" s="22" t="s">
        <v>48</v>
      </c>
      <c r="D17" s="22">
        <v>2712</v>
      </c>
      <c r="E17" s="22">
        <v>0</v>
      </c>
      <c r="F17" s="22">
        <v>2880</v>
      </c>
      <c r="G17" s="22">
        <v>1E+30</v>
      </c>
      <c r="H17" s="22">
        <v>168.00000000000011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showGridLines="0" workbookViewId="0"/>
  </sheetViews>
  <sheetFormatPr defaultRowHeight="13.2" x14ac:dyDescent="0.25"/>
  <cols>
    <col min="1" max="1" width="2.33203125" customWidth="1"/>
    <col min="2" max="2" width="5.33203125" bestFit="1" customWidth="1"/>
    <col min="3" max="3" width="25.44140625" bestFit="1" customWidth="1"/>
    <col min="4" max="4" width="7.5546875" bestFit="1" customWidth="1"/>
    <col min="5" max="5" width="2.33203125" customWidth="1"/>
    <col min="6" max="6" width="6.44140625" customWidth="1"/>
    <col min="7" max="7" width="9.109375" bestFit="1" customWidth="1"/>
    <col min="8" max="8" width="2.33203125" customWidth="1"/>
    <col min="9" max="9" width="6.33203125" customWidth="1"/>
    <col min="10" max="10" width="9.109375" bestFit="1" customWidth="1"/>
  </cols>
  <sheetData>
    <row r="1" spans="1:10" x14ac:dyDescent="0.25">
      <c r="A1" s="21" t="s">
        <v>67</v>
      </c>
    </row>
    <row r="2" spans="1:10" x14ac:dyDescent="0.25">
      <c r="A2" s="21" t="s">
        <v>73</v>
      </c>
    </row>
    <row r="3" spans="1:10" x14ac:dyDescent="0.25">
      <c r="A3" s="21" t="s">
        <v>74</v>
      </c>
    </row>
    <row r="5" spans="1:10" ht="13.8" thickBot="1" x14ac:dyDescent="0.3"/>
    <row r="6" spans="1:10" x14ac:dyDescent="0.25">
      <c r="B6" s="29"/>
      <c r="C6" s="29" t="s">
        <v>58</v>
      </c>
      <c r="D6" s="29"/>
    </row>
    <row r="7" spans="1:10" ht="13.8" thickBot="1" x14ac:dyDescent="0.3">
      <c r="B7" s="30" t="s">
        <v>23</v>
      </c>
      <c r="C7" s="30" t="s">
        <v>24</v>
      </c>
      <c r="D7" s="30" t="s">
        <v>55</v>
      </c>
    </row>
    <row r="8" spans="1:10" ht="13.8" thickBot="1" x14ac:dyDescent="0.3">
      <c r="B8" s="22" t="s">
        <v>33</v>
      </c>
      <c r="C8" s="22" t="s">
        <v>34</v>
      </c>
      <c r="D8" s="25">
        <v>66100</v>
      </c>
    </row>
    <row r="10" spans="1:10" ht="13.8" thickBot="1" x14ac:dyDescent="0.3"/>
    <row r="11" spans="1:10" x14ac:dyDescent="0.25">
      <c r="B11" s="29"/>
      <c r="C11" s="29" t="s">
        <v>68</v>
      </c>
      <c r="D11" s="29"/>
      <c r="F11" s="29" t="s">
        <v>69</v>
      </c>
      <c r="G11" s="29" t="s">
        <v>58</v>
      </c>
      <c r="I11" s="29" t="s">
        <v>72</v>
      </c>
      <c r="J11" s="29" t="s">
        <v>58</v>
      </c>
    </row>
    <row r="12" spans="1:10" ht="13.8" thickBot="1" x14ac:dyDescent="0.3">
      <c r="B12" s="30" t="s">
        <v>23</v>
      </c>
      <c r="C12" s="30" t="s">
        <v>24</v>
      </c>
      <c r="D12" s="30" t="s">
        <v>55</v>
      </c>
      <c r="F12" s="30" t="s">
        <v>70</v>
      </c>
      <c r="G12" s="30" t="s">
        <v>71</v>
      </c>
      <c r="I12" s="30" t="s">
        <v>70</v>
      </c>
      <c r="J12" s="30" t="s">
        <v>71</v>
      </c>
    </row>
    <row r="13" spans="1:10" x14ac:dyDescent="0.25">
      <c r="B13" s="24" t="s">
        <v>35</v>
      </c>
      <c r="C13" s="24" t="s">
        <v>36</v>
      </c>
      <c r="D13" s="26">
        <v>122.00000000000001</v>
      </c>
      <c r="F13" s="26">
        <v>0</v>
      </c>
      <c r="G13" s="26">
        <v>23400</v>
      </c>
      <c r="I13" s="26">
        <v>122</v>
      </c>
      <c r="J13" s="26">
        <v>66100</v>
      </c>
    </row>
    <row r="14" spans="1:10" ht="13.8" thickBot="1" x14ac:dyDescent="0.3">
      <c r="B14" s="22" t="s">
        <v>38</v>
      </c>
      <c r="C14" s="22" t="s">
        <v>39</v>
      </c>
      <c r="D14" s="27">
        <v>77.999999999999986</v>
      </c>
      <c r="F14" s="27">
        <v>0</v>
      </c>
      <c r="G14" s="27">
        <v>42700</v>
      </c>
      <c r="I14" s="27">
        <v>77.999999999999957</v>
      </c>
      <c r="J14" s="27">
        <v>66100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2:N17"/>
  <sheetViews>
    <sheetView tabSelected="1" zoomScale="120" workbookViewId="0">
      <selection activeCell="E10" sqref="E10"/>
    </sheetView>
  </sheetViews>
  <sheetFormatPr defaultColWidth="9.6640625" defaultRowHeight="13.2" x14ac:dyDescent="0.25"/>
  <cols>
    <col min="1" max="1" width="16.6640625" bestFit="1" customWidth="1"/>
    <col min="2" max="3" width="13" customWidth="1"/>
    <col min="4" max="4" width="11.6640625" bestFit="1" customWidth="1"/>
    <col min="5" max="5" width="9.5546875" bestFit="1" customWidth="1"/>
  </cols>
  <sheetData>
    <row r="2" spans="1:14" ht="15" x14ac:dyDescent="0.25">
      <c r="A2" s="4"/>
      <c r="B2" s="15"/>
      <c r="C2" s="16"/>
      <c r="D2" s="17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ht="13.8" thickBot="1" x14ac:dyDescent="0.3">
      <c r="A5" s="18" t="s">
        <v>8</v>
      </c>
      <c r="B5" s="13">
        <v>122.00000000000001</v>
      </c>
      <c r="C5" s="13">
        <v>77.999999999999986</v>
      </c>
      <c r="D5" s="5" t="s">
        <v>7</v>
      </c>
      <c r="E5" s="4"/>
      <c r="G5" s="1"/>
      <c r="H5" s="1"/>
      <c r="I5" s="2"/>
    </row>
    <row r="6" spans="1:14" ht="14.4" thickTop="1" thickBot="1" x14ac:dyDescent="0.3">
      <c r="A6" s="6" t="s">
        <v>5</v>
      </c>
      <c r="B6" s="8">
        <v>350</v>
      </c>
      <c r="C6" s="8">
        <v>300</v>
      </c>
      <c r="D6" s="12">
        <f>SUMPRODUCT($B$5:$C$5,B6:C6)</f>
        <v>66100</v>
      </c>
      <c r="E6" s="4"/>
      <c r="F6" s="2"/>
      <c r="G6" s="2"/>
      <c r="H6" s="2"/>
      <c r="I6" s="1"/>
    </row>
    <row r="7" spans="1:14" ht="14.4" thickTop="1" thickBot="1" x14ac:dyDescent="0.3">
      <c r="B7" s="7"/>
      <c r="C7" s="7"/>
      <c r="D7" s="19" t="s">
        <v>12</v>
      </c>
      <c r="E7" s="20" t="s">
        <v>13</v>
      </c>
      <c r="F7" s="2"/>
      <c r="G7" s="2"/>
      <c r="H7" s="2"/>
      <c r="I7" s="1"/>
    </row>
    <row r="8" spans="1:14" x14ac:dyDescent="0.25">
      <c r="A8" s="6" t="s">
        <v>6</v>
      </c>
      <c r="B8" s="7"/>
      <c r="C8" s="7"/>
      <c r="D8" s="5" t="s">
        <v>3</v>
      </c>
      <c r="E8" s="5" t="s">
        <v>4</v>
      </c>
      <c r="F8" s="2"/>
      <c r="G8" s="2"/>
      <c r="H8" s="2"/>
    </row>
    <row r="9" spans="1:14" x14ac:dyDescent="0.25">
      <c r="A9" s="6" t="s">
        <v>9</v>
      </c>
      <c r="B9" s="9">
        <v>1</v>
      </c>
      <c r="C9" s="9">
        <v>1</v>
      </c>
      <c r="D9" s="14">
        <f>SUMPRODUCT($B$5:$C$5,B9:C9)</f>
        <v>200</v>
      </c>
      <c r="E9" s="10">
        <v>200</v>
      </c>
      <c r="F9" s="1"/>
      <c r="G9" s="1"/>
      <c r="H9" s="1"/>
    </row>
    <row r="10" spans="1:14" x14ac:dyDescent="0.25">
      <c r="A10" s="6" t="s">
        <v>10</v>
      </c>
      <c r="B10" s="9">
        <v>9</v>
      </c>
      <c r="C10" s="9">
        <v>6</v>
      </c>
      <c r="D10" s="14">
        <f>SUMPRODUCT($B$5:$C$5,B10:C10)</f>
        <v>1566</v>
      </c>
      <c r="E10" s="9">
        <v>1566</v>
      </c>
    </row>
    <row r="11" spans="1:14" x14ac:dyDescent="0.25">
      <c r="A11" s="6" t="s">
        <v>11</v>
      </c>
      <c r="B11" s="9">
        <v>12</v>
      </c>
      <c r="C11" s="9">
        <v>16</v>
      </c>
      <c r="D11" s="14">
        <f>SUMPRODUCT($B$5:$C$5,B11:C11)</f>
        <v>2712</v>
      </c>
      <c r="E11" s="9">
        <v>2880</v>
      </c>
    </row>
    <row r="12" spans="1:14" x14ac:dyDescent="0.25">
      <c r="B12" s="4"/>
      <c r="C12" s="4"/>
      <c r="D12" s="4"/>
      <c r="E12" s="4"/>
    </row>
    <row r="13" spans="1:14" x14ac:dyDescent="0.25">
      <c r="B13" s="1"/>
      <c r="C13" s="1"/>
      <c r="D13" s="1"/>
      <c r="F13" s="11"/>
    </row>
    <row r="14" spans="1:14" x14ac:dyDescent="0.25">
      <c r="B14" s="2"/>
      <c r="C14" s="2"/>
      <c r="D14" s="2"/>
      <c r="F14" s="11"/>
    </row>
    <row r="15" spans="1:14" x14ac:dyDescent="0.25">
      <c r="B15" s="2"/>
      <c r="C15" s="2"/>
      <c r="D15" s="2"/>
      <c r="F15" s="11"/>
    </row>
    <row r="16" spans="1:14" x14ac:dyDescent="0.25">
      <c r="B16" s="2"/>
      <c r="C16" s="2"/>
      <c r="D16" s="2"/>
      <c r="F16" s="11"/>
    </row>
    <row r="17" spans="2:4" x14ac:dyDescent="0.25">
      <c r="B17" s="1"/>
      <c r="C17" s="1"/>
      <c r="D17" s="1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Production Report</vt:lpstr>
      <vt:lpstr>Answer Report 1</vt:lpstr>
      <vt:lpstr>Sensitivity Report 1</vt:lpstr>
      <vt:lpstr>Limits Report 1</vt:lpstr>
      <vt:lpstr>Production Report (Solution)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cp:lastPrinted>1996-09-19T18:10:37Z</cp:lastPrinted>
  <dcterms:created xsi:type="dcterms:W3CDTF">1999-08-27T19:50:30Z</dcterms:created>
  <dcterms:modified xsi:type="dcterms:W3CDTF">2018-08-03T15:38:28Z</dcterms:modified>
</cp:coreProperties>
</file>