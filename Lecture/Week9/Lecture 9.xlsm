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9\"/>
    </mc:Choice>
  </mc:AlternateContent>
  <bookViews>
    <workbookView xWindow="120" yWindow="90" windowWidth="9375" windowHeight="4965" firstSheet="1" activeTab="9"/>
  </bookViews>
  <sheets>
    <sheet name="Module1" sheetId="1" state="veryHidden" r:id=""/>
    <sheet name="Data" sheetId="2" r:id="rId1"/>
    <sheet name="Payoff Matrix" sheetId="3" r:id="rId2"/>
    <sheet name="Maximax" sheetId="4" r:id="rId3"/>
    <sheet name="Maximin" sheetId="5" r:id="rId4"/>
    <sheet name="Minimax Regret" sheetId="6" r:id="rId5"/>
    <sheet name="Expected Value" sheetId="7" r:id="rId6"/>
    <sheet name="Expected Regret" sheetId="8" r:id="rId7"/>
    <sheet name="EMV Decision Table" sheetId="10" r:id="rId8"/>
    <sheet name="EVPI" sheetId="9" r:id="rId9"/>
  </sheets>
  <calcPr calcId="162913"/>
</workbook>
</file>

<file path=xl/calcChain.xml><?xml version="1.0" encoding="utf-8"?>
<calcChain xmlns="http://schemas.openxmlformats.org/spreadsheetml/2006/main">
  <c r="E10" i="6" l="1"/>
  <c r="B10" i="6"/>
  <c r="C10" i="6"/>
  <c r="C10" i="10"/>
  <c r="D8" i="10" s="1"/>
  <c r="C7" i="10"/>
  <c r="B7" i="10"/>
  <c r="D7" i="10" s="1"/>
  <c r="C6" i="10"/>
  <c r="B6" i="10"/>
  <c r="D6" i="10"/>
  <c r="C13" i="10" s="1"/>
  <c r="C5" i="10"/>
  <c r="B5" i="10"/>
  <c r="C5" i="9"/>
  <c r="B5" i="9"/>
  <c r="C6" i="9"/>
  <c r="B6" i="9"/>
  <c r="C7" i="9"/>
  <c r="B7" i="9"/>
  <c r="B12" i="9"/>
  <c r="C12" i="9"/>
  <c r="B10" i="8"/>
  <c r="B10" i="9" s="1"/>
  <c r="C10" i="8"/>
  <c r="C10" i="9"/>
  <c r="C5" i="3"/>
  <c r="C8" i="8" s="1"/>
  <c r="C6" i="3"/>
  <c r="E8" i="6" s="1"/>
  <c r="C8" i="6"/>
  <c r="C7" i="3"/>
  <c r="E9" i="6" s="1"/>
  <c r="C9" i="6"/>
  <c r="B5" i="3"/>
  <c r="B7" i="6"/>
  <c r="B6" i="3"/>
  <c r="B8" i="6"/>
  <c r="B7" i="3"/>
  <c r="B8" i="8" s="1"/>
  <c r="D8" i="8" s="1"/>
  <c r="C6" i="8"/>
  <c r="B6" i="8"/>
  <c r="D6" i="8" s="1"/>
  <c r="C10" i="7"/>
  <c r="D8" i="7"/>
  <c r="E8" i="7" s="1"/>
  <c r="C7" i="7"/>
  <c r="B7" i="7"/>
  <c r="D7" i="7" s="1"/>
  <c r="E7" i="7" s="1"/>
  <c r="C6" i="7"/>
  <c r="B6" i="7"/>
  <c r="D6" i="7"/>
  <c r="C5" i="7"/>
  <c r="B5" i="7"/>
  <c r="D5" i="7"/>
  <c r="E5" i="7" s="1"/>
  <c r="B6" i="4"/>
  <c r="D6" i="4" s="1"/>
  <c r="C6" i="4"/>
  <c r="B5" i="4"/>
  <c r="D5" i="4" s="1"/>
  <c r="C5" i="4"/>
  <c r="B7" i="4"/>
  <c r="C7" i="4"/>
  <c r="D7" i="4"/>
  <c r="D8" i="4"/>
  <c r="B5" i="5"/>
  <c r="C5" i="5"/>
  <c r="D5" i="5"/>
  <c r="E5" i="5" s="1"/>
  <c r="B6" i="5"/>
  <c r="C6" i="5"/>
  <c r="D6" i="5"/>
  <c r="B7" i="5"/>
  <c r="D7" i="5" s="1"/>
  <c r="E7" i="5" s="1"/>
  <c r="C7" i="5"/>
  <c r="D8" i="5"/>
  <c r="D5" i="10" l="1"/>
  <c r="E7" i="10" s="1"/>
  <c r="E8" i="4"/>
  <c r="E5" i="4"/>
  <c r="D13" i="10"/>
  <c r="E8" i="5"/>
  <c r="E6" i="4"/>
  <c r="B11" i="6"/>
  <c r="D8" i="9"/>
  <c r="D5" i="9"/>
  <c r="D6" i="9"/>
  <c r="E6" i="9" s="1"/>
  <c r="D7" i="9"/>
  <c r="E13" i="10"/>
  <c r="E7" i="4"/>
  <c r="E6" i="5"/>
  <c r="D12" i="9"/>
  <c r="D14" i="9" s="1"/>
  <c r="E6" i="7"/>
  <c r="C5" i="8"/>
  <c r="B9" i="6"/>
  <c r="E7" i="6"/>
  <c r="C7" i="6"/>
  <c r="C11" i="6" s="1"/>
  <c r="B7" i="8"/>
  <c r="C7" i="8"/>
  <c r="B5" i="8"/>
  <c r="D5" i="8" s="1"/>
  <c r="E5" i="10" l="1"/>
  <c r="B13" i="10"/>
  <c r="E8" i="10"/>
  <c r="E7" i="9"/>
  <c r="E5" i="9"/>
  <c r="D8" i="6"/>
  <c r="F8" i="6" s="1"/>
  <c r="D7" i="6"/>
  <c r="F7" i="6" s="1"/>
  <c r="D9" i="6"/>
  <c r="F9" i="6" s="1"/>
  <c r="D10" i="6"/>
  <c r="F10" i="6" s="1"/>
  <c r="G10" i="6" s="1"/>
  <c r="D7" i="8"/>
  <c r="E7" i="8" s="1"/>
  <c r="E8" i="9"/>
  <c r="G9" i="6" l="1"/>
  <c r="G8" i="6"/>
  <c r="G7" i="6"/>
  <c r="E8" i="8"/>
  <c r="E6" i="8"/>
  <c r="E5" i="8"/>
</calcChain>
</file>

<file path=xl/sharedStrings.xml><?xml version="1.0" encoding="utf-8"?>
<sst xmlns="http://schemas.openxmlformats.org/spreadsheetml/2006/main" count="118" uniqueCount="34">
  <si>
    <t>Parcel of Land Near Location</t>
  </si>
  <si>
    <t>A</t>
  </si>
  <si>
    <t>B</t>
  </si>
  <si>
    <t>Current purchase price</t>
  </si>
  <si>
    <t>Present value of future cash flows if hotel and airport are built at this location</t>
  </si>
  <si>
    <t xml:space="preserve">Present value of future sales price of parcel if the airport is not built at this location </t>
  </si>
  <si>
    <t>(Note: All values are in millions of dollars.)</t>
  </si>
  <si>
    <t>Land Purchased</t>
  </si>
  <si>
    <t>Airport is Built at Location</t>
  </si>
  <si>
    <t>at Location(s)</t>
  </si>
  <si>
    <t>A&amp;B</t>
  </si>
  <si>
    <t>None</t>
  </si>
  <si>
    <t>MAX</t>
  </si>
  <si>
    <t>MIN</t>
  </si>
  <si>
    <t>Max</t>
  </si>
  <si>
    <t>EMV</t>
  </si>
  <si>
    <t>Probability</t>
  </si>
  <si>
    <t>EOL</t>
  </si>
  <si>
    <t>EVPI</t>
  </si>
  <si>
    <t>EMV A</t>
  </si>
  <si>
    <t>EMV B</t>
  </si>
  <si>
    <t>EMV A&amp;B</t>
  </si>
  <si>
    <t>EMV None</t>
  </si>
  <si>
    <t>Prob. of Location A</t>
  </si>
  <si>
    <t>$13 = $31 - $18</t>
  </si>
  <si>
    <t>-$8 = $4 - $12</t>
  </si>
  <si>
    <t>-$12 = $6 - $18</t>
  </si>
  <si>
    <t>$11 = $23 - $12</t>
  </si>
  <si>
    <t>$5 = $31 + $4 - $18 - $12</t>
  </si>
  <si>
    <t>-$1 = $23 + $6 - $18 - $12</t>
  </si>
  <si>
    <t>Regret Table</t>
  </si>
  <si>
    <t>Payoff Table</t>
  </si>
  <si>
    <t>Expected Value with perfect information</t>
  </si>
  <si>
    <t>(EVwPI)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</si>
</sst>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_);\(&quot;$&quot;#,##0\)"/>
    <numFmt numFmtId="172" formatCode="&quot;$&quot;#,##0.0_);\(&quot;$&quot;#,##0.0\)"/>
    <numFmt numFmtId="173" formatCode="0.0"/>
  </numFmts>
  <fonts count="10" x14ac:knownFonts="1">
    <font>
      <sz val="10"/>
      <name val="Arial"/>
    </font>
    <font>
      <b/>
      <sz val="10"/>
      <name val="Arial"/>
    </font>
    <font>
      <sz val="10"/>
      <name val="Arial"/>
      <family val="2"/>
    </font>
    <font>
      <b/>
      <sz val="14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Continuous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Continuous"/>
    </xf>
    <xf numFmtId="0" fontId="0" fillId="0" borderId="0" xfId="0" quotePrefix="1"/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Border="1" applyAlignment="1">
      <alignment horizontal="center"/>
    </xf>
    <xf numFmtId="164" fontId="0" fillId="0" borderId="0" xfId="0" applyNumberFormat="1" applyAlignment="1">
      <alignment horizontal="centerContinuous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73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Continuous"/>
    </xf>
    <xf numFmtId="0" fontId="1" fillId="0" borderId="0" xfId="0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Continuous"/>
    </xf>
    <xf numFmtId="0" fontId="4" fillId="0" borderId="0" xfId="0" applyFont="1"/>
    <xf numFmtId="164" fontId="0" fillId="0" borderId="1" xfId="0" applyNumberFormat="1" applyBorder="1" applyAlignment="1">
      <alignment horizontal="center"/>
    </xf>
    <xf numFmtId="0" fontId="6" fillId="0" borderId="0" xfId="0" applyFont="1"/>
    <xf numFmtId="172" fontId="0" fillId="0" borderId="1" xfId="0" applyNumberFormat="1" applyBorder="1" applyAlignment="1">
      <alignment horizontal="center"/>
    </xf>
    <xf numFmtId="172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0" fillId="0" borderId="0" xfId="0" quotePrefix="1" applyAlignment="1">
      <alignment horizontal="left"/>
    </xf>
    <xf numFmtId="0" fontId="8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0" fontId="1" fillId="0" borderId="0" xfId="0" applyFont="1" applyAlignment="1">
      <alignment horizontal="right"/>
    </xf>
    <xf numFmtId="164" fontId="2" fillId="0" borderId="0" xfId="0" quotePrefix="1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0" fillId="0" borderId="5" xfId="0" applyBorder="1"/>
    <xf numFmtId="164" fontId="0" fillId="0" borderId="7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6" xfId="0" applyFont="1" applyBorder="1" applyAlignment="1">
      <alignment horizontal="center"/>
    </xf>
    <xf numFmtId="0" fontId="0" fillId="0" borderId="8" xfId="0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172" fontId="0" fillId="0" borderId="8" xfId="0" applyNumberFormat="1" applyBorder="1"/>
    <xf numFmtId="172" fontId="8" fillId="0" borderId="8" xfId="0" applyNumberFormat="1" applyFont="1" applyBorder="1"/>
    <xf numFmtId="173" fontId="0" fillId="0" borderId="8" xfId="0" applyNumberFormat="1" applyBorder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164" fontId="7" fillId="0" borderId="4" xfId="0" applyNumberFormat="1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9" xfId="0" applyFont="1" applyBorder="1" applyAlignment="1"/>
    <xf numFmtId="0" fontId="1" fillId="0" borderId="4" xfId="0" applyFont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36251422980309"/>
          <c:y val="5.4054212574525425E-2"/>
          <c:w val="0.82466436480981453"/>
          <c:h val="0.84985234214392757"/>
        </c:manualLayout>
      </c:layout>
      <c:scatterChart>
        <c:scatterStyle val="line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'EMV Decision Table'!$A$14:$A$24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'EMV Decision Table'!$B$14:$B$24</c:f>
              <c:numCache>
                <c:formatCode>General</c:formatCode>
                <c:ptCount val="11"/>
                <c:pt idx="0">
                  <c:v>-12</c:v>
                </c:pt>
                <c:pt idx="1">
                  <c:v>-9.5</c:v>
                </c:pt>
                <c:pt idx="2">
                  <c:v>-7.0000000000000018</c:v>
                </c:pt>
                <c:pt idx="3">
                  <c:v>-4.4999999999999982</c:v>
                </c:pt>
                <c:pt idx="4">
                  <c:v>-1.9999999999999991</c:v>
                </c:pt>
                <c:pt idx="5">
                  <c:v>0.5</c:v>
                </c:pt>
                <c:pt idx="6">
                  <c:v>2.9999999999999991</c:v>
                </c:pt>
                <c:pt idx="7">
                  <c:v>5.4999999999999991</c:v>
                </c:pt>
                <c:pt idx="8">
                  <c:v>8</c:v>
                </c:pt>
                <c:pt idx="9">
                  <c:v>10.500000000000002</c:v>
                </c:pt>
                <c:pt idx="10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3D-475A-A040-DE2C25B4B00A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'EMV Decision Table'!$A$14:$A$24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'EMV Decision Table'!$C$14:$C$24</c:f>
              <c:numCache>
                <c:formatCode>General</c:formatCode>
                <c:ptCount val="11"/>
                <c:pt idx="0">
                  <c:v>11</c:v>
                </c:pt>
                <c:pt idx="1">
                  <c:v>9.1</c:v>
                </c:pt>
                <c:pt idx="2">
                  <c:v>7.2000000000000011</c:v>
                </c:pt>
                <c:pt idx="3">
                  <c:v>5.2999999999999989</c:v>
                </c:pt>
                <c:pt idx="4">
                  <c:v>3.3999999999999995</c:v>
                </c:pt>
                <c:pt idx="5">
                  <c:v>1.5</c:v>
                </c:pt>
                <c:pt idx="6">
                  <c:v>-0.39999999999999947</c:v>
                </c:pt>
                <c:pt idx="7">
                  <c:v>-2.2999999999999989</c:v>
                </c:pt>
                <c:pt idx="8">
                  <c:v>-4.2000000000000011</c:v>
                </c:pt>
                <c:pt idx="9">
                  <c:v>-6.1000000000000005</c:v>
                </c:pt>
                <c:pt idx="10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D-475A-A040-DE2C25B4B00A}"/>
            </c:ext>
          </c:extLst>
        </c:ser>
        <c:ser>
          <c:idx val="2"/>
          <c:order val="2"/>
          <c:tx>
            <c:v>A&amp;B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'EMV Decision Table'!$A$14:$A$24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'EMV Decision Table'!$D$14:$D$24</c:f>
              <c:numCache>
                <c:formatCode>General</c:formatCode>
                <c:ptCount val="11"/>
                <c:pt idx="0">
                  <c:v>-1</c:v>
                </c:pt>
                <c:pt idx="1">
                  <c:v>-0.4</c:v>
                </c:pt>
                <c:pt idx="2">
                  <c:v>0.19999999999999996</c:v>
                </c:pt>
                <c:pt idx="3">
                  <c:v>0.8</c:v>
                </c:pt>
                <c:pt idx="4">
                  <c:v>1.4</c:v>
                </c:pt>
                <c:pt idx="5">
                  <c:v>2</c:v>
                </c:pt>
                <c:pt idx="6">
                  <c:v>2.6</c:v>
                </c:pt>
                <c:pt idx="7">
                  <c:v>3.2</c:v>
                </c:pt>
                <c:pt idx="8">
                  <c:v>3.8</c:v>
                </c:pt>
                <c:pt idx="9">
                  <c:v>4.4000000000000004</c:v>
                </c:pt>
                <c:pt idx="1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3D-475A-A040-DE2C25B4B00A}"/>
            </c:ext>
          </c:extLst>
        </c:ser>
        <c:ser>
          <c:idx val="3"/>
          <c:order val="3"/>
          <c:tx>
            <c:v>None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xVal>
            <c:numRef>
              <c:f>'EMV Decision Table'!$A$14:$A$24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'EMV Decision Table'!$E$14:$E$24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3D-475A-A040-DE2C25B4B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948496"/>
        <c:axId val="1"/>
      </c:scatterChart>
      <c:valAx>
        <c:axId val="36094849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Prob. of Location A</a:t>
                </a:r>
              </a:p>
            </c:rich>
          </c:tx>
          <c:layout>
            <c:manualLayout>
              <c:xMode val="edge"/>
              <c:yMode val="edge"/>
              <c:x val="0.41425899797207427"/>
              <c:y val="0.9009034231081475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0.2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EMV</a:t>
                </a:r>
              </a:p>
            </c:rich>
          </c:tx>
          <c:layout>
            <c:manualLayout>
              <c:xMode val="edge"/>
              <c:yMode val="edge"/>
              <c:x val="9.6339113680154135E-3"/>
              <c:y val="0.39639765750001971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948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7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7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>
              <a:defRPr sz="74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51445187848628748"/>
          <c:y val="0.70871091564004951"/>
          <c:w val="0.25240888241570958"/>
          <c:h val="0.102102417378007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1</xdr:row>
      <xdr:rowOff>28575</xdr:rowOff>
    </xdr:from>
    <xdr:to>
      <xdr:col>3</xdr:col>
      <xdr:colOff>342900</xdr:colOff>
      <xdr:row>3</xdr:row>
      <xdr:rowOff>19050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057275" y="190500"/>
          <a:ext cx="3248025" cy="4476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Magnolia Inns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Real Estate Acquisition Analysis</a:t>
          </a:r>
        </a:p>
      </xdr:txBody>
    </xdr:sp>
    <xdr:clientData/>
  </xdr:twoCellAnchor>
  <xdr:twoCellAnchor>
    <xdr:from>
      <xdr:col>1</xdr:col>
      <xdr:colOff>304800</xdr:colOff>
      <xdr:row>13</xdr:row>
      <xdr:rowOff>95250</xdr:rowOff>
    </xdr:from>
    <xdr:to>
      <xdr:col>2</xdr:col>
      <xdr:colOff>895350</xdr:colOff>
      <xdr:row>16</xdr:row>
      <xdr:rowOff>38100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647700" y="2971800"/>
          <a:ext cx="3286125" cy="4286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This table simply summarizes the cash flows for each alternative parcel of land.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1123950</xdr:colOff>
      <xdr:row>0</xdr:row>
      <xdr:rowOff>57150</xdr:rowOff>
    </xdr:from>
    <xdr:to>
      <xdr:col>2</xdr:col>
      <xdr:colOff>762000</xdr:colOff>
      <xdr:row>1</xdr:row>
      <xdr:rowOff>133350</xdr:rowOff>
    </xdr:to>
    <xdr:sp macro="[0]!Toggle" textlink="">
      <xdr:nvSpPr>
        <xdr:cNvPr id="2050" name="Text 2"/>
        <xdr:cNvSpPr>
          <a:spLocks noChangeArrowheads="1"/>
        </xdr:cNvSpPr>
      </xdr:nvSpPr>
      <xdr:spPr bwMode="auto">
        <a:xfrm>
          <a:off x="1123950" y="57150"/>
          <a:ext cx="1895475" cy="2667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</a:t>
          </a:r>
        </a:p>
      </xdr:txBody>
    </xdr:sp>
    <xdr:clientData/>
  </xdr:twoCellAnchor>
  <xdr:twoCellAnchor>
    <xdr:from>
      <xdr:col>0</xdr:col>
      <xdr:colOff>695325</xdr:colOff>
      <xdr:row>9</xdr:row>
      <xdr:rowOff>9525</xdr:rowOff>
    </xdr:from>
    <xdr:to>
      <xdr:col>3</xdr:col>
      <xdr:colOff>200025</xdr:colOff>
      <xdr:row>15</xdr:row>
      <xdr:rowOff>28575</xdr:rowOff>
    </xdr:to>
    <xdr:sp macro="" textlink="">
      <xdr:nvSpPr>
        <xdr:cNvPr id="2051" name="NOTE" hidden="1"/>
        <xdr:cNvSpPr txBox="1">
          <a:spLocks noChangeArrowheads="1"/>
        </xdr:cNvSpPr>
      </xdr:nvSpPr>
      <xdr:spPr bwMode="auto">
        <a:xfrm>
          <a:off x="695325" y="1543050"/>
          <a:ext cx="2590800" cy="9906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This table shows the net payoff received for each land purchase alternative given the two different states of nature (i.e., the airport being built at location A or B).</a:t>
          </a:r>
        </a:p>
      </xdr:txBody>
    </xdr:sp>
    <xdr:clientData/>
  </xdr:twoCellAnchor>
  <xdr:twoCellAnchor>
    <xdr:from>
      <xdr:col>5</xdr:col>
      <xdr:colOff>1123950</xdr:colOff>
      <xdr:row>0</xdr:row>
      <xdr:rowOff>57150</xdr:rowOff>
    </xdr:from>
    <xdr:to>
      <xdr:col>7</xdr:col>
      <xdr:colOff>762000</xdr:colOff>
      <xdr:row>1</xdr:row>
      <xdr:rowOff>133350</xdr:rowOff>
    </xdr:to>
    <xdr:sp macro="[0]!Toggle" textlink="">
      <xdr:nvSpPr>
        <xdr:cNvPr id="2078" name="Text 2"/>
        <xdr:cNvSpPr>
          <a:spLocks noChangeArrowheads="1"/>
        </xdr:cNvSpPr>
      </xdr:nvSpPr>
      <xdr:spPr bwMode="auto">
        <a:xfrm>
          <a:off x="5429250" y="57150"/>
          <a:ext cx="2743200" cy="2667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0</xdr:row>
      <xdr:rowOff>38100</xdr:rowOff>
    </xdr:from>
    <xdr:to>
      <xdr:col>3</xdr:col>
      <xdr:colOff>342900</xdr:colOff>
      <xdr:row>1</xdr:row>
      <xdr:rowOff>228600</xdr:rowOff>
    </xdr:to>
    <xdr:sp macro="[0]!Toggle" textlink="">
      <xdr:nvSpPr>
        <xdr:cNvPr id="3073" name="Text 1"/>
        <xdr:cNvSpPr>
          <a:spLocks noChangeArrowheads="1"/>
        </xdr:cNvSpPr>
      </xdr:nvSpPr>
      <xdr:spPr bwMode="auto">
        <a:xfrm>
          <a:off x="1104900" y="38100"/>
          <a:ext cx="2514600" cy="4381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Maximax Decision Rule</a:t>
          </a:r>
        </a:p>
      </xdr:txBody>
    </xdr:sp>
    <xdr:clientData/>
  </xdr:twoCellAnchor>
  <xdr:twoCellAnchor>
    <xdr:from>
      <xdr:col>1</xdr:col>
      <xdr:colOff>314325</xdr:colOff>
      <xdr:row>10</xdr:row>
      <xdr:rowOff>142875</xdr:rowOff>
    </xdr:from>
    <xdr:to>
      <xdr:col>4</xdr:col>
      <xdr:colOff>276225</xdr:colOff>
      <xdr:row>17</xdr:row>
      <xdr:rowOff>28575</xdr:rowOff>
    </xdr:to>
    <xdr:sp macro="" textlink="">
      <xdr:nvSpPr>
        <xdr:cNvPr id="3074" name="NOTE" hidden="1"/>
        <xdr:cNvSpPr txBox="1">
          <a:spLocks noChangeArrowheads="1"/>
        </xdr:cNvSpPr>
      </xdr:nvSpPr>
      <xdr:spPr bwMode="auto">
        <a:xfrm>
          <a:off x="1895475" y="1962150"/>
          <a:ext cx="2266950" cy="10191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Maximax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maximum payoff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highest maximum payoff.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1428750</xdr:colOff>
      <xdr:row>0</xdr:row>
      <xdr:rowOff>38100</xdr:rowOff>
    </xdr:from>
    <xdr:to>
      <xdr:col>3</xdr:col>
      <xdr:colOff>238125</xdr:colOff>
      <xdr:row>1</xdr:row>
      <xdr:rowOff>114300</xdr:rowOff>
    </xdr:to>
    <xdr:sp macro="" textlink="">
      <xdr:nvSpPr>
        <xdr:cNvPr id="4097" name="Text 1"/>
        <xdr:cNvSpPr>
          <a:spLocks noChangeArrowheads="1"/>
        </xdr:cNvSpPr>
      </xdr:nvSpPr>
      <xdr:spPr bwMode="auto">
        <a:xfrm>
          <a:off x="1428750" y="38100"/>
          <a:ext cx="20859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Maximin Decision Rule</a:t>
          </a:r>
        </a:p>
      </xdr:txBody>
    </xdr:sp>
    <xdr:clientData/>
  </xdr:twoCellAnchor>
  <xdr:twoCellAnchor>
    <xdr:from>
      <xdr:col>0</xdr:col>
      <xdr:colOff>1104900</xdr:colOff>
      <xdr:row>0</xdr:row>
      <xdr:rowOff>38100</xdr:rowOff>
    </xdr:from>
    <xdr:to>
      <xdr:col>3</xdr:col>
      <xdr:colOff>342900</xdr:colOff>
      <xdr:row>1</xdr:row>
      <xdr:rowOff>200025</xdr:rowOff>
    </xdr:to>
    <xdr:sp macro="[0]!Toggle" textlink="">
      <xdr:nvSpPr>
        <xdr:cNvPr id="4098" name="Text 2"/>
        <xdr:cNvSpPr>
          <a:spLocks noChangeArrowheads="1"/>
        </xdr:cNvSpPr>
      </xdr:nvSpPr>
      <xdr:spPr bwMode="auto">
        <a:xfrm>
          <a:off x="1104900" y="38100"/>
          <a:ext cx="2514600" cy="4191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Maximin Decision Rule</a:t>
          </a:r>
        </a:p>
      </xdr:txBody>
    </xdr:sp>
    <xdr:clientData/>
  </xdr:twoCellAnchor>
  <xdr:twoCellAnchor>
    <xdr:from>
      <xdr:col>3</xdr:col>
      <xdr:colOff>314325</xdr:colOff>
      <xdr:row>14</xdr:row>
      <xdr:rowOff>142875</xdr:rowOff>
    </xdr:from>
    <xdr:to>
      <xdr:col>6</xdr:col>
      <xdr:colOff>533400</xdr:colOff>
      <xdr:row>21</xdr:row>
      <xdr:rowOff>28575</xdr:rowOff>
    </xdr:to>
    <xdr:sp macro="" textlink="">
      <xdr:nvSpPr>
        <xdr:cNvPr id="4099" name="NOTE" hidden="1"/>
        <xdr:cNvSpPr txBox="1">
          <a:spLocks noChangeArrowheads="1"/>
        </xdr:cNvSpPr>
      </xdr:nvSpPr>
      <xdr:spPr bwMode="auto">
        <a:xfrm>
          <a:off x="3590925" y="2619375"/>
          <a:ext cx="2266950" cy="10191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Maximin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minimum payoff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highest minimum payoff.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11</xdr:row>
      <xdr:rowOff>28575</xdr:rowOff>
    </xdr:from>
    <xdr:to>
      <xdr:col>3</xdr:col>
      <xdr:colOff>485775</xdr:colOff>
      <xdr:row>16</xdr:row>
      <xdr:rowOff>85725</xdr:rowOff>
    </xdr:to>
    <xdr:sp macro="" textlink="">
      <xdr:nvSpPr>
        <xdr:cNvPr id="5122" name="NOTE" hidden="1"/>
        <xdr:cNvSpPr txBox="1">
          <a:spLocks noChangeArrowheads="1"/>
        </xdr:cNvSpPr>
      </xdr:nvSpPr>
      <xdr:spPr bwMode="auto">
        <a:xfrm>
          <a:off x="962025" y="2047875"/>
          <a:ext cx="2819400" cy="8667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Minimax Regret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maximum regret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smallest maximum regret.</a:t>
          </a:r>
        </a:p>
      </xdr:txBody>
    </xdr:sp>
    <xdr:clientData/>
  </xdr:twoCellAnchor>
  <xdr:twoCellAnchor>
    <xdr:from>
      <xdr:col>0</xdr:col>
      <xdr:colOff>971550</xdr:colOff>
      <xdr:row>0</xdr:row>
      <xdr:rowOff>38100</xdr:rowOff>
    </xdr:from>
    <xdr:to>
      <xdr:col>3</xdr:col>
      <xdr:colOff>190500</xdr:colOff>
      <xdr:row>1</xdr:row>
      <xdr:rowOff>228600</xdr:rowOff>
    </xdr:to>
    <xdr:sp macro="[0]!Toggle" textlink="">
      <xdr:nvSpPr>
        <xdr:cNvPr id="5123" name="Text 1"/>
        <xdr:cNvSpPr>
          <a:spLocks noChangeArrowheads="1"/>
        </xdr:cNvSpPr>
      </xdr:nvSpPr>
      <xdr:spPr bwMode="auto">
        <a:xfrm>
          <a:off x="971550" y="38100"/>
          <a:ext cx="2514600" cy="4476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1100"/>
            </a:lnSpc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Regret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Minimax Regret Decision Rule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1162050</xdr:colOff>
      <xdr:row>0</xdr:row>
      <xdr:rowOff>38100</xdr:rowOff>
    </xdr:from>
    <xdr:to>
      <xdr:col>3</xdr:col>
      <xdr:colOff>400050</xdr:colOff>
      <xdr:row>1</xdr:row>
      <xdr:rowOff>209550</xdr:rowOff>
    </xdr:to>
    <xdr:sp macro="[0]!Toggle" textlink="">
      <xdr:nvSpPr>
        <xdr:cNvPr id="6145" name="Text 1"/>
        <xdr:cNvSpPr>
          <a:spLocks noChangeArrowheads="1"/>
        </xdr:cNvSpPr>
      </xdr:nvSpPr>
      <xdr:spPr bwMode="auto">
        <a:xfrm>
          <a:off x="1162050" y="38100"/>
          <a:ext cx="2514600" cy="4286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EMV Decision Rule</a:t>
          </a:r>
        </a:p>
      </xdr:txBody>
    </xdr:sp>
    <xdr:clientData/>
  </xdr:twoCellAnchor>
  <xdr:twoCellAnchor>
    <xdr:from>
      <xdr:col>0</xdr:col>
      <xdr:colOff>314325</xdr:colOff>
      <xdr:row>10</xdr:row>
      <xdr:rowOff>142875</xdr:rowOff>
    </xdr:from>
    <xdr:to>
      <xdr:col>2</xdr:col>
      <xdr:colOff>438150</xdr:colOff>
      <xdr:row>11</xdr:row>
      <xdr:rowOff>0</xdr:rowOff>
    </xdr:to>
    <xdr:sp macro="" textlink="">
      <xdr:nvSpPr>
        <xdr:cNvPr id="6146" name="NOTE" hidden="1"/>
        <xdr:cNvSpPr txBox="1">
          <a:spLocks noChangeArrowheads="1"/>
        </xdr:cNvSpPr>
      </xdr:nvSpPr>
      <xdr:spPr bwMode="auto">
        <a:xfrm>
          <a:off x="314325" y="1971675"/>
          <a:ext cx="2571750" cy="190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EMV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expected payoff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highest expected payoff.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1238250</xdr:colOff>
      <xdr:row>0</xdr:row>
      <xdr:rowOff>47625</xdr:rowOff>
    </xdr:from>
    <xdr:to>
      <xdr:col>3</xdr:col>
      <xdr:colOff>323850</xdr:colOff>
      <xdr:row>1</xdr:row>
      <xdr:rowOff>209550</xdr:rowOff>
    </xdr:to>
    <xdr:sp macro="[0]!Toggle" textlink="">
      <xdr:nvSpPr>
        <xdr:cNvPr id="7169" name="Text 1"/>
        <xdr:cNvSpPr>
          <a:spLocks noChangeArrowheads="1"/>
        </xdr:cNvSpPr>
      </xdr:nvSpPr>
      <xdr:spPr bwMode="auto">
        <a:xfrm>
          <a:off x="1238250" y="47625"/>
          <a:ext cx="2381250" cy="4191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Regret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EOL Decision Rule</a:t>
          </a:r>
        </a:p>
      </xdr:txBody>
    </xdr:sp>
    <xdr:clientData/>
  </xdr:twoCellAnchor>
  <xdr:twoCellAnchor>
    <xdr:from>
      <xdr:col>0</xdr:col>
      <xdr:colOff>1266825</xdr:colOff>
      <xdr:row>11</xdr:row>
      <xdr:rowOff>47625</xdr:rowOff>
    </xdr:from>
    <xdr:to>
      <xdr:col>4</xdr:col>
      <xdr:colOff>257175</xdr:colOff>
      <xdr:row>12</xdr:row>
      <xdr:rowOff>0</xdr:rowOff>
    </xdr:to>
    <xdr:sp macro="" textlink="">
      <xdr:nvSpPr>
        <xdr:cNvPr id="7170" name="NOTE" hidden="1"/>
        <xdr:cNvSpPr txBox="1">
          <a:spLocks noChangeArrowheads="1"/>
        </xdr:cNvSpPr>
      </xdr:nvSpPr>
      <xdr:spPr bwMode="auto">
        <a:xfrm>
          <a:off x="1266825" y="2038350"/>
          <a:ext cx="3143250" cy="114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EOL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expected opportunity loss (or expected regret)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smallest expected regret.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1162050</xdr:colOff>
      <xdr:row>0</xdr:row>
      <xdr:rowOff>38100</xdr:rowOff>
    </xdr:from>
    <xdr:to>
      <xdr:col>3</xdr:col>
      <xdr:colOff>400050</xdr:colOff>
      <xdr:row>1</xdr:row>
      <xdr:rowOff>209550</xdr:rowOff>
    </xdr:to>
    <xdr:sp macro="[0]!Toggle" textlink="">
      <xdr:nvSpPr>
        <xdr:cNvPr id="9217" name="Text 1"/>
        <xdr:cNvSpPr>
          <a:spLocks noChangeArrowheads="1"/>
        </xdr:cNvSpPr>
      </xdr:nvSpPr>
      <xdr:spPr bwMode="auto">
        <a:xfrm>
          <a:off x="1162050" y="38100"/>
          <a:ext cx="2181225" cy="4286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EMV Decision Rule</a:t>
          </a:r>
        </a:p>
      </xdr:txBody>
    </xdr:sp>
    <xdr:clientData/>
  </xdr:twoCellAnchor>
  <xdr:twoCellAnchor>
    <xdr:from>
      <xdr:col>0</xdr:col>
      <xdr:colOff>314325</xdr:colOff>
      <xdr:row>10</xdr:row>
      <xdr:rowOff>142875</xdr:rowOff>
    </xdr:from>
    <xdr:to>
      <xdr:col>2</xdr:col>
      <xdr:colOff>438150</xdr:colOff>
      <xdr:row>16</xdr:row>
      <xdr:rowOff>57150</xdr:rowOff>
    </xdr:to>
    <xdr:sp macro="" textlink="">
      <xdr:nvSpPr>
        <xdr:cNvPr id="9218" name="NOTE" hidden="1"/>
        <xdr:cNvSpPr txBox="1">
          <a:spLocks noChangeArrowheads="1"/>
        </xdr:cNvSpPr>
      </xdr:nvSpPr>
      <xdr:spPr bwMode="auto">
        <a:xfrm>
          <a:off x="314325" y="1971675"/>
          <a:ext cx="2238375" cy="8858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The EMV Decision Rule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expected payoff for each alternative.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Select the alternative with the highest expected payoff.</a:t>
          </a:r>
        </a:p>
      </xdr:txBody>
    </xdr:sp>
    <xdr:clientData/>
  </xdr:twoCellAnchor>
  <xdr:twoCellAnchor>
    <xdr:from>
      <xdr:col>5</xdr:col>
      <xdr:colOff>466725</xdr:colOff>
      <xdr:row>10</xdr:row>
      <xdr:rowOff>104775</xdr:rowOff>
    </xdr:from>
    <xdr:to>
      <xdr:col>13</xdr:col>
      <xdr:colOff>533400</xdr:colOff>
      <xdr:row>30</xdr:row>
      <xdr:rowOff>38100</xdr:rowOff>
    </xdr:to>
    <xdr:graphicFrame macro="">
      <xdr:nvGraphicFramePr>
        <xdr:cNvPr id="924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1219200</xdr:colOff>
      <xdr:row>0</xdr:row>
      <xdr:rowOff>47625</xdr:rowOff>
    </xdr:from>
    <xdr:to>
      <xdr:col>3</xdr:col>
      <xdr:colOff>333375</xdr:colOff>
      <xdr:row>1</xdr:row>
      <xdr:rowOff>219075</xdr:rowOff>
    </xdr:to>
    <xdr:sp macro="[0]!Toggle" textlink="">
      <xdr:nvSpPr>
        <xdr:cNvPr id="8193" name="Text 1"/>
        <xdr:cNvSpPr>
          <a:spLocks noChangeArrowheads="1"/>
        </xdr:cNvSpPr>
      </xdr:nvSpPr>
      <xdr:spPr bwMode="auto">
        <a:xfrm>
          <a:off x="1219200" y="47625"/>
          <a:ext cx="2381250" cy="4286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Payoff Matrix &amp;</a:t>
          </a:r>
        </a:p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Calculation of EVPI</a:t>
          </a:r>
        </a:p>
      </xdr:txBody>
    </xdr:sp>
    <xdr:clientData/>
  </xdr:twoCellAnchor>
  <xdr:twoCellAnchor>
    <xdr:from>
      <xdr:col>0</xdr:col>
      <xdr:colOff>619125</xdr:colOff>
      <xdr:row>14</xdr:row>
      <xdr:rowOff>76200</xdr:rowOff>
    </xdr:from>
    <xdr:to>
      <xdr:col>3</xdr:col>
      <xdr:colOff>352425</xdr:colOff>
      <xdr:row>22</xdr:row>
      <xdr:rowOff>57150</xdr:rowOff>
    </xdr:to>
    <xdr:sp macro="" textlink="">
      <xdr:nvSpPr>
        <xdr:cNvPr id="8194" name="NOTE" hidden="1"/>
        <xdr:cNvSpPr txBox="1">
          <a:spLocks noChangeArrowheads="1"/>
        </xdr:cNvSpPr>
      </xdr:nvSpPr>
      <xdr:spPr bwMode="auto">
        <a:xfrm>
          <a:off x="619125" y="2714625"/>
          <a:ext cx="3000375" cy="12763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u="sng" strike="noStrike">
              <a:solidFill>
                <a:srgbClr val="FF0000"/>
              </a:solidFill>
              <a:latin typeface="Fixedsys"/>
            </a:rPr>
            <a:t>Expected Value of Perfect Information</a:t>
          </a:r>
          <a:endParaRPr lang="en-AU" sz="1000" b="0" i="0" strike="noStrike">
            <a:solidFill>
              <a:srgbClr val="000000"/>
            </a:solidFill>
            <a:latin typeface="Fixedsys"/>
          </a:endParaRP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1. Compute the expected value received if perfect information about the states of nature is available.   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2. Subtract the maximum EMV without perfect information.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3. The result is the EVPI(and the minimum EOL).</a:t>
          </a:r>
        </a:p>
      </xdr:txBody>
    </xdr:sp>
    <xdr:clientData/>
  </xdr:twoCellAnchor>
  <xdr:twoCellAnchor>
    <xdr:from>
      <xdr:col>0</xdr:col>
      <xdr:colOff>1307524</xdr:colOff>
      <xdr:row>15</xdr:row>
      <xdr:rowOff>129886</xdr:rowOff>
    </xdr:from>
    <xdr:to>
      <xdr:col>3</xdr:col>
      <xdr:colOff>580162</xdr:colOff>
      <xdr:row>17</xdr:row>
      <xdr:rowOff>25976</xdr:rowOff>
    </xdr:to>
    <xdr:sp macro="" textlink="">
      <xdr:nvSpPr>
        <xdr:cNvPr id="4" name="Line Callout 1 3"/>
        <xdr:cNvSpPr/>
      </xdr:nvSpPr>
      <xdr:spPr bwMode="auto">
        <a:xfrm>
          <a:off x="1307524" y="2961409"/>
          <a:ext cx="2545774" cy="225135"/>
        </a:xfrm>
        <a:prstGeom prst="borderCallout1">
          <a:avLst>
            <a:gd name="adj1" fmla="val 329"/>
            <a:gd name="adj2" fmla="val 49967"/>
            <a:gd name="adj3" fmla="val -131141"/>
            <a:gd name="adj4" fmla="val 58023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AU" sz="1100"/>
            <a:t>Expected value of Perfect Information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zoomScale="110" workbookViewId="0"/>
  </sheetViews>
  <sheetFormatPr defaultRowHeight="12.75" x14ac:dyDescent="0.2"/>
  <cols>
    <col min="1" max="1" width="5.140625" customWidth="1"/>
    <col min="2" max="2" width="40.42578125" customWidth="1"/>
    <col min="3" max="4" width="13.85546875" customWidth="1"/>
  </cols>
  <sheetData>
    <row r="2" spans="2:5" ht="18" x14ac:dyDescent="0.25">
      <c r="B2" s="11"/>
      <c r="C2" s="4"/>
      <c r="D2" s="4"/>
      <c r="E2" s="4"/>
    </row>
    <row r="3" spans="2:5" ht="18" x14ac:dyDescent="0.25">
      <c r="B3" s="11"/>
      <c r="C3" s="4"/>
      <c r="D3" s="4"/>
      <c r="E3" s="4"/>
    </row>
    <row r="5" spans="2:5" ht="16.5" customHeight="1" x14ac:dyDescent="0.2">
      <c r="B5" s="9"/>
      <c r="C5" s="21" t="s">
        <v>0</v>
      </c>
      <c r="D5" s="21"/>
    </row>
    <row r="6" spans="2:5" ht="17.25" customHeight="1" thickBot="1" x14ac:dyDescent="0.25">
      <c r="B6" s="25"/>
      <c r="C6" s="26" t="s">
        <v>1</v>
      </c>
      <c r="D6" s="26" t="s">
        <v>2</v>
      </c>
    </row>
    <row r="7" spans="2:5" ht="17.25" customHeight="1" x14ac:dyDescent="0.2">
      <c r="B7" s="22" t="s">
        <v>3</v>
      </c>
      <c r="C7" s="23">
        <v>18</v>
      </c>
      <c r="D7" s="23">
        <v>12</v>
      </c>
    </row>
    <row r="8" spans="2:5" ht="12" customHeight="1" x14ac:dyDescent="0.2">
      <c r="B8" s="22"/>
      <c r="C8" s="23"/>
      <c r="D8" s="23"/>
    </row>
    <row r="9" spans="2:5" ht="25.5" x14ac:dyDescent="0.2">
      <c r="B9" s="24" t="s">
        <v>4</v>
      </c>
      <c r="C9" s="23">
        <v>31</v>
      </c>
      <c r="D9" s="23">
        <v>23</v>
      </c>
    </row>
    <row r="10" spans="2:5" ht="12" customHeight="1" x14ac:dyDescent="0.2">
      <c r="B10" s="24"/>
      <c r="C10" s="23"/>
      <c r="D10" s="23"/>
    </row>
    <row r="11" spans="2:5" ht="39" thickBot="1" x14ac:dyDescent="0.25">
      <c r="B11" s="27" t="s">
        <v>5</v>
      </c>
      <c r="C11" s="28">
        <v>6</v>
      </c>
      <c r="D11" s="28">
        <v>4</v>
      </c>
    </row>
    <row r="12" spans="2:5" x14ac:dyDescent="0.2">
      <c r="B12" s="10"/>
      <c r="C12" s="5"/>
      <c r="D12" s="5"/>
    </row>
    <row r="13" spans="2:5" x14ac:dyDescent="0.2">
      <c r="B13" s="4" t="s">
        <v>6</v>
      </c>
      <c r="C13" s="3"/>
      <c r="D13" s="3"/>
      <c r="E13" s="3"/>
    </row>
  </sheetData>
  <phoneticPr fontId="9" type="noConversion"/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"/>
  <sheetViews>
    <sheetView zoomScale="110" workbookViewId="0"/>
  </sheetViews>
  <sheetFormatPr defaultRowHeight="12.75" x14ac:dyDescent="0.2"/>
  <cols>
    <col min="1" max="1" width="20.85546875" customWidth="1"/>
    <col min="2" max="2" width="13" customWidth="1"/>
    <col min="3" max="3" width="12.42578125" customWidth="1"/>
    <col min="6" max="8" width="23.28515625" customWidth="1"/>
  </cols>
  <sheetData>
    <row r="1" spans="1:8" ht="15" customHeight="1" x14ac:dyDescent="0.2">
      <c r="A1" s="10"/>
      <c r="B1" s="30"/>
      <c r="C1" s="30"/>
      <c r="F1" s="10"/>
      <c r="G1" s="30"/>
      <c r="H1" s="30"/>
    </row>
    <row r="2" spans="1:8" ht="15" customHeight="1" x14ac:dyDescent="0.2">
      <c r="A2" s="10"/>
      <c r="B2" s="6"/>
      <c r="C2" s="6"/>
      <c r="F2" s="10"/>
      <c r="G2" s="6"/>
      <c r="H2" s="6"/>
    </row>
    <row r="3" spans="1:8" x14ac:dyDescent="0.2">
      <c r="A3" s="2" t="s">
        <v>7</v>
      </c>
      <c r="B3" s="4" t="s">
        <v>8</v>
      </c>
      <c r="C3" s="4"/>
      <c r="F3" s="2" t="s">
        <v>7</v>
      </c>
      <c r="G3" s="4" t="s">
        <v>8</v>
      </c>
      <c r="H3" s="4"/>
    </row>
    <row r="4" spans="1:8" ht="13.5" thickBot="1" x14ac:dyDescent="0.25">
      <c r="A4" s="26" t="s">
        <v>9</v>
      </c>
      <c r="B4" s="26" t="s">
        <v>1</v>
      </c>
      <c r="C4" s="26" t="s">
        <v>2</v>
      </c>
      <c r="F4" s="26" t="s">
        <v>9</v>
      </c>
      <c r="G4" s="26" t="s">
        <v>1</v>
      </c>
      <c r="H4" s="26" t="s">
        <v>2</v>
      </c>
    </row>
    <row r="5" spans="1:8" x14ac:dyDescent="0.2">
      <c r="A5" s="8" t="s">
        <v>1</v>
      </c>
      <c r="B5" s="15">
        <f>Data!C9-Data!C7</f>
        <v>13</v>
      </c>
      <c r="C5" s="15">
        <f>Data!C11-Data!C7</f>
        <v>-12</v>
      </c>
      <c r="F5" s="8" t="s">
        <v>1</v>
      </c>
      <c r="G5" s="43" t="s">
        <v>24</v>
      </c>
      <c r="H5" s="43" t="s">
        <v>26</v>
      </c>
    </row>
    <row r="6" spans="1:8" x14ac:dyDescent="0.2">
      <c r="A6" s="8" t="s">
        <v>2</v>
      </c>
      <c r="B6" s="15">
        <f>Data!D11-Data!D7</f>
        <v>-8</v>
      </c>
      <c r="C6" s="15">
        <f>Data!D9-Data!D7</f>
        <v>11</v>
      </c>
      <c r="F6" s="8" t="s">
        <v>2</v>
      </c>
      <c r="G6" s="43" t="s">
        <v>25</v>
      </c>
      <c r="H6" s="43" t="s">
        <v>27</v>
      </c>
    </row>
    <row r="7" spans="1:8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F7" s="8" t="s">
        <v>10</v>
      </c>
      <c r="G7" s="43" t="s">
        <v>28</v>
      </c>
      <c r="H7" s="43" t="s">
        <v>29</v>
      </c>
    </row>
    <row r="8" spans="1:8" ht="13.5" thickBot="1" x14ac:dyDescent="0.25">
      <c r="A8" s="26" t="s">
        <v>11</v>
      </c>
      <c r="B8" s="29">
        <v>0</v>
      </c>
      <c r="C8" s="29">
        <v>0</v>
      </c>
      <c r="F8" s="26" t="s">
        <v>11</v>
      </c>
      <c r="G8" s="29">
        <v>0</v>
      </c>
      <c r="H8" s="29">
        <v>0</v>
      </c>
    </row>
    <row r="9" spans="1:8" x14ac:dyDescent="0.2">
      <c r="B9" s="1"/>
      <c r="C9" s="1"/>
    </row>
    <row r="10" spans="1:8" x14ac:dyDescent="0.2">
      <c r="B10" s="1"/>
      <c r="C10" s="1"/>
    </row>
    <row r="12" spans="1:8" x14ac:dyDescent="0.2">
      <c r="A12" s="2"/>
      <c r="B12" s="4"/>
      <c r="C12" s="4"/>
    </row>
    <row r="14" spans="1:8" x14ac:dyDescent="0.2">
      <c r="A14" s="8"/>
      <c r="B14" s="15"/>
      <c r="C14" s="15"/>
    </row>
    <row r="15" spans="1:8" x14ac:dyDescent="0.2">
      <c r="A15" s="8"/>
      <c r="B15" s="15"/>
      <c r="C15" s="15"/>
    </row>
    <row r="16" spans="1:8" x14ac:dyDescent="0.2">
      <c r="A16" s="8"/>
      <c r="B16" s="15"/>
      <c r="C16" s="15"/>
    </row>
  </sheetData>
  <phoneticPr fontId="9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zoomScale="110" workbookViewId="0"/>
  </sheetViews>
  <sheetFormatPr defaultRowHeight="12.75" x14ac:dyDescent="0.2"/>
  <cols>
    <col min="1" max="1" width="23.7109375" customWidth="1"/>
    <col min="2" max="2" width="13" customWidth="1"/>
    <col min="3" max="3" width="12.42578125" customWidth="1"/>
    <col min="5" max="5" width="12.42578125" customWidth="1"/>
  </cols>
  <sheetData>
    <row r="1" spans="1:5" ht="19.5" customHeight="1" x14ac:dyDescent="0.2">
      <c r="A1" s="10"/>
      <c r="B1" s="6"/>
      <c r="C1" s="6"/>
    </row>
    <row r="2" spans="1:5" ht="20.25" customHeight="1" x14ac:dyDescent="0.2">
      <c r="A2" s="10"/>
      <c r="B2" s="6"/>
      <c r="C2" s="6"/>
    </row>
    <row r="3" spans="1:5" x14ac:dyDescent="0.2">
      <c r="A3" s="2" t="s">
        <v>7</v>
      </c>
      <c r="B3" s="4" t="s">
        <v>8</v>
      </c>
      <c r="C3" s="4"/>
    </row>
    <row r="4" spans="1:5" ht="13.5" thickBot="1" x14ac:dyDescent="0.25">
      <c r="A4" s="26" t="s">
        <v>9</v>
      </c>
      <c r="B4" s="26" t="s">
        <v>1</v>
      </c>
      <c r="C4" s="26" t="s">
        <v>2</v>
      </c>
      <c r="D4" s="26" t="s">
        <v>12</v>
      </c>
    </row>
    <row r="5" spans="1:5" x14ac:dyDescent="0.2">
      <c r="A5" s="8" t="s">
        <v>1</v>
      </c>
      <c r="B5" s="15">
        <f>Data!C9-Data!C7</f>
        <v>13</v>
      </c>
      <c r="C5" s="15">
        <f>Data!C11-Data!C7</f>
        <v>-12</v>
      </c>
      <c r="D5" s="5">
        <f>MAX(B5:C5)</f>
        <v>13</v>
      </c>
      <c r="E5" s="31" t="str">
        <f>IF(D5=MAX($D$5:$D$8),"&lt;--maximum","")</f>
        <v>&lt;--maximum</v>
      </c>
    </row>
    <row r="6" spans="1:5" x14ac:dyDescent="0.2">
      <c r="A6" s="8" t="s">
        <v>2</v>
      </c>
      <c r="B6" s="15">
        <f>Data!D11-Data!D7</f>
        <v>-8</v>
      </c>
      <c r="C6" s="15">
        <f>Data!D9-Data!D7</f>
        <v>11</v>
      </c>
      <c r="D6" s="5">
        <f>MAX(B6:C6)</f>
        <v>11</v>
      </c>
      <c r="E6" s="31" t="str">
        <f>IF(D6=MAX($D$5:$D$8),"&lt;--maximum","")</f>
        <v/>
      </c>
    </row>
    <row r="7" spans="1:5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D7" s="5">
        <f>MAX(B7:C7)</f>
        <v>5</v>
      </c>
      <c r="E7" s="31" t="str">
        <f>IF(D7=MAX($D$5:$D$8),"&lt;--maximum","")</f>
        <v/>
      </c>
    </row>
    <row r="8" spans="1:5" ht="13.5" thickBot="1" x14ac:dyDescent="0.25">
      <c r="A8" s="26" t="s">
        <v>11</v>
      </c>
      <c r="B8" s="29">
        <v>0</v>
      </c>
      <c r="C8" s="29">
        <v>0</v>
      </c>
      <c r="D8" s="32">
        <f>MAX(B8:C8)</f>
        <v>0</v>
      </c>
      <c r="E8" s="31" t="str">
        <f>IF(D8=MAX($D$5:$D$8),"&lt;--maximum","")</f>
        <v/>
      </c>
    </row>
    <row r="9" spans="1:5" x14ac:dyDescent="0.2">
      <c r="B9" s="1"/>
      <c r="C9" s="1"/>
    </row>
    <row r="10" spans="1:5" x14ac:dyDescent="0.2">
      <c r="A10" s="38"/>
      <c r="B10" s="37"/>
      <c r="C10" s="1"/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"/>
  <sheetViews>
    <sheetView zoomScale="110" workbookViewId="0"/>
  </sheetViews>
  <sheetFormatPr defaultRowHeight="12.75" x14ac:dyDescent="0.2"/>
  <cols>
    <col min="1" max="1" width="23.7109375" customWidth="1"/>
    <col min="2" max="2" width="13" customWidth="1"/>
    <col min="3" max="3" width="12.42578125" customWidth="1"/>
    <col min="5" max="5" width="12.42578125" customWidth="1"/>
  </cols>
  <sheetData>
    <row r="1" spans="1:5" ht="20.25" customHeight="1" x14ac:dyDescent="0.2">
      <c r="A1" s="10"/>
      <c r="B1" s="6"/>
      <c r="C1" s="6"/>
    </row>
    <row r="2" spans="1:5" ht="20.25" customHeight="1" x14ac:dyDescent="0.2">
      <c r="A2" s="10"/>
      <c r="B2" s="6"/>
      <c r="C2" s="6"/>
    </row>
    <row r="3" spans="1:5" x14ac:dyDescent="0.2">
      <c r="A3" s="2" t="s">
        <v>7</v>
      </c>
      <c r="B3" s="4" t="s">
        <v>8</v>
      </c>
      <c r="C3" s="4"/>
    </row>
    <row r="4" spans="1:5" ht="13.5" thickBot="1" x14ac:dyDescent="0.25">
      <c r="A4" s="26" t="s">
        <v>9</v>
      </c>
      <c r="B4" s="26" t="s">
        <v>1</v>
      </c>
      <c r="C4" s="26" t="s">
        <v>2</v>
      </c>
      <c r="D4" s="26" t="s">
        <v>13</v>
      </c>
    </row>
    <row r="5" spans="1:5" x14ac:dyDescent="0.2">
      <c r="A5" s="8" t="s">
        <v>1</v>
      </c>
      <c r="B5" s="15">
        <f>Data!C9-Data!C7</f>
        <v>13</v>
      </c>
      <c r="C5" s="15">
        <f>Data!C11-Data!C7</f>
        <v>-12</v>
      </c>
      <c r="D5" s="5">
        <f>MIN(B5:C5)</f>
        <v>-12</v>
      </c>
      <c r="E5" s="33" t="str">
        <f>IF(D5=MAX($D$5:$D$8),"&lt;--maximum","")</f>
        <v/>
      </c>
    </row>
    <row r="6" spans="1:5" x14ac:dyDescent="0.2">
      <c r="A6" s="8" t="s">
        <v>2</v>
      </c>
      <c r="B6" s="15">
        <f>Data!D11-Data!D7</f>
        <v>-8</v>
      </c>
      <c r="C6" s="15">
        <f>Data!D9-Data!D7</f>
        <v>11</v>
      </c>
      <c r="D6" s="5">
        <f>MIN(B6:C6)</f>
        <v>-8</v>
      </c>
      <c r="E6" s="33" t="str">
        <f>IF(D6=MAX($D$5:$D$8),"&lt;--maximum","")</f>
        <v/>
      </c>
    </row>
    <row r="7" spans="1:5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D7" s="5">
        <f>MIN(B7:C7)</f>
        <v>-1</v>
      </c>
      <c r="E7" s="33" t="str">
        <f>IF(D7=MAX($D$5:$D$8),"&lt;--maximum","")</f>
        <v/>
      </c>
    </row>
    <row r="8" spans="1:5" ht="13.5" thickBot="1" x14ac:dyDescent="0.25">
      <c r="A8" s="26" t="s">
        <v>11</v>
      </c>
      <c r="B8" s="29">
        <v>0</v>
      </c>
      <c r="C8" s="29">
        <v>0</v>
      </c>
      <c r="D8" s="32">
        <f>MIN(B8:C8)</f>
        <v>0</v>
      </c>
      <c r="E8" s="33" t="str">
        <f>IF(D8=MAX($D$5:$D$8),"&lt;--maximum","")</f>
        <v>&lt;--maximum</v>
      </c>
    </row>
    <row r="9" spans="1:5" x14ac:dyDescent="0.2">
      <c r="B9" s="1"/>
      <c r="C9" s="1"/>
    </row>
    <row r="10" spans="1:5" x14ac:dyDescent="0.2">
      <c r="A10" s="38"/>
      <c r="B10" s="37"/>
      <c r="C10" s="1"/>
    </row>
  </sheetData>
  <phoneticPr fontId="9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"/>
  <sheetViews>
    <sheetView zoomScale="110" workbookViewId="0">
      <selection activeCell="A14" sqref="A14"/>
    </sheetView>
  </sheetViews>
  <sheetFormatPr defaultRowHeight="12.75" x14ac:dyDescent="0.2"/>
  <cols>
    <col min="1" max="1" width="17.140625" customWidth="1"/>
    <col min="2" max="3" width="12.85546875" customWidth="1"/>
    <col min="4" max="6" width="9.28515625" customWidth="1"/>
  </cols>
  <sheetData>
    <row r="1" spans="1:7" ht="20.25" customHeight="1" x14ac:dyDescent="0.2">
      <c r="A1" s="10"/>
      <c r="B1" s="6"/>
      <c r="C1" s="6"/>
      <c r="D1" s="1"/>
    </row>
    <row r="2" spans="1:7" ht="20.25" customHeight="1" x14ac:dyDescent="0.2">
      <c r="A2" s="10"/>
      <c r="B2" s="6"/>
      <c r="C2" s="6"/>
      <c r="D2" s="1"/>
    </row>
    <row r="3" spans="1:7" ht="7.5" customHeight="1" thickBot="1" x14ac:dyDescent="0.25">
      <c r="A3" s="10"/>
      <c r="B3" s="6"/>
      <c r="C3" s="6"/>
      <c r="D3" s="1"/>
    </row>
    <row r="4" spans="1:7" ht="20.25" customHeight="1" thickBot="1" x14ac:dyDescent="0.25">
      <c r="A4" s="10"/>
      <c r="B4" s="67" t="s">
        <v>31</v>
      </c>
      <c r="C4" s="68"/>
      <c r="D4" s="69" t="s">
        <v>30</v>
      </c>
      <c r="E4" s="70"/>
      <c r="F4" s="52"/>
    </row>
    <row r="5" spans="1:7" x14ac:dyDescent="0.2">
      <c r="A5" s="55" t="s">
        <v>7</v>
      </c>
      <c r="B5" s="56" t="s">
        <v>8</v>
      </c>
      <c r="C5" s="57"/>
      <c r="D5" s="71" t="s">
        <v>8</v>
      </c>
      <c r="E5" s="72"/>
      <c r="F5" s="73"/>
    </row>
    <row r="6" spans="1:7" ht="13.5" thickBot="1" x14ac:dyDescent="0.25">
      <c r="A6" s="44" t="s">
        <v>9</v>
      </c>
      <c r="B6" s="44" t="s">
        <v>1</v>
      </c>
      <c r="C6" s="45" t="s">
        <v>2</v>
      </c>
      <c r="D6" s="44" t="s">
        <v>1</v>
      </c>
      <c r="E6" s="26" t="s">
        <v>2</v>
      </c>
      <c r="F6" s="45" t="s">
        <v>14</v>
      </c>
    </row>
    <row r="7" spans="1:7" x14ac:dyDescent="0.2">
      <c r="A7" s="58" t="s">
        <v>1</v>
      </c>
      <c r="B7" s="46">
        <f>'Payoff Matrix'!B5</f>
        <v>13</v>
      </c>
      <c r="C7" s="47">
        <f>'Payoff Matrix'!C5</f>
        <v>-12</v>
      </c>
      <c r="D7" s="46">
        <f>B$11-B7</f>
        <v>0</v>
      </c>
      <c r="E7" s="47">
        <f>MAX('Payoff Matrix'!C$5:C$8)-'Payoff Matrix'!C5</f>
        <v>23</v>
      </c>
      <c r="F7" s="53">
        <f>MAX(D7:E7)</f>
        <v>23</v>
      </c>
      <c r="G7" s="33" t="str">
        <f>IF(F7=MIN($F$7:$F$10),"&lt;--minimum","")</f>
        <v/>
      </c>
    </row>
    <row r="8" spans="1:7" x14ac:dyDescent="0.2">
      <c r="A8" s="58" t="s">
        <v>2</v>
      </c>
      <c r="B8" s="48">
        <f>'Payoff Matrix'!B6</f>
        <v>-8</v>
      </c>
      <c r="C8" s="49">
        <f>'Payoff Matrix'!C6</f>
        <v>11</v>
      </c>
      <c r="D8" s="48">
        <f>B$11-B8</f>
        <v>21</v>
      </c>
      <c r="E8" s="49">
        <f>MAX('Payoff Matrix'!C$5:C$8)-'Payoff Matrix'!C6</f>
        <v>0</v>
      </c>
      <c r="F8" s="53">
        <f>MAX(D8:E8)</f>
        <v>21</v>
      </c>
      <c r="G8" s="33" t="str">
        <f>IF(F8=MIN($F$7:$F$10),"&lt;--minimum","")</f>
        <v/>
      </c>
    </row>
    <row r="9" spans="1:7" x14ac:dyDescent="0.2">
      <c r="A9" s="58" t="s">
        <v>10</v>
      </c>
      <c r="B9" s="48">
        <f>'Payoff Matrix'!B7</f>
        <v>5</v>
      </c>
      <c r="C9" s="49">
        <f>'Payoff Matrix'!C7</f>
        <v>-1</v>
      </c>
      <c r="D9" s="48">
        <f>B$11-B9</f>
        <v>8</v>
      </c>
      <c r="E9" s="49">
        <f>MAX('Payoff Matrix'!C$5:C$8)-'Payoff Matrix'!C7</f>
        <v>12</v>
      </c>
      <c r="F9" s="53">
        <f>MAX(D9:E9)</f>
        <v>12</v>
      </c>
      <c r="G9" s="33" t="str">
        <f>IF(F9=MIN($F$7:$F$10),"&lt;--minimum","")</f>
        <v>&lt;--minimum</v>
      </c>
    </row>
    <row r="10" spans="1:7" ht="13.5" thickBot="1" x14ac:dyDescent="0.25">
      <c r="A10" s="44" t="s">
        <v>11</v>
      </c>
      <c r="B10" s="50">
        <f>'Payoff Matrix'!B8</f>
        <v>0</v>
      </c>
      <c r="C10" s="51">
        <f>'Payoff Matrix'!C8</f>
        <v>0</v>
      </c>
      <c r="D10" s="50">
        <f>B$11-B10</f>
        <v>13</v>
      </c>
      <c r="E10" s="51">
        <f>MAX('Payoff Matrix'!C$5:C$8)-'Payoff Matrix'!C8</f>
        <v>11</v>
      </c>
      <c r="F10" s="54">
        <f>MAX(D10:E10)</f>
        <v>13</v>
      </c>
      <c r="G10" s="33" t="str">
        <f>IF(F10=MIN($F$7:$F$10),"&lt;--minimum","")</f>
        <v/>
      </c>
    </row>
    <row r="11" spans="1:7" x14ac:dyDescent="0.2">
      <c r="B11" s="5">
        <f>MAX(B7:B10)</f>
        <v>13</v>
      </c>
      <c r="C11" s="5">
        <f>MAX(C7:C10)</f>
        <v>11</v>
      </c>
      <c r="F11" s="5"/>
    </row>
    <row r="12" spans="1:7" x14ac:dyDescent="0.2">
      <c r="A12" s="40"/>
      <c r="B12" s="41"/>
      <c r="C12" s="7"/>
      <c r="D12" s="7"/>
      <c r="F12" s="5"/>
    </row>
    <row r="13" spans="1:7" x14ac:dyDescent="0.2">
      <c r="A13" s="8"/>
      <c r="B13" s="7"/>
      <c r="C13" s="7"/>
      <c r="D13" s="7"/>
      <c r="F13" s="5"/>
    </row>
    <row r="14" spans="1:7" x14ac:dyDescent="0.2">
      <c r="B14" s="1"/>
      <c r="C14" s="1"/>
    </row>
  </sheetData>
  <mergeCells count="3">
    <mergeCell ref="B4:C4"/>
    <mergeCell ref="D4:E4"/>
    <mergeCell ref="D5:F5"/>
  </mergeCells>
  <phoneticPr fontId="9" type="noConversion"/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zoomScale="110" workbookViewId="0"/>
  </sheetViews>
  <sheetFormatPr defaultRowHeight="12.75" x14ac:dyDescent="0.2"/>
  <cols>
    <col min="1" max="1" width="23.7109375" customWidth="1"/>
    <col min="2" max="2" width="13" customWidth="1"/>
    <col min="3" max="3" width="12.42578125" customWidth="1"/>
    <col min="4" max="5" width="12.85546875" customWidth="1"/>
  </cols>
  <sheetData>
    <row r="1" spans="1:5" ht="20.25" customHeight="1" x14ac:dyDescent="0.2">
      <c r="A1" s="10"/>
      <c r="B1" s="6"/>
      <c r="C1" s="6"/>
    </row>
    <row r="2" spans="1:5" ht="20.25" customHeight="1" x14ac:dyDescent="0.2">
      <c r="A2" s="10"/>
      <c r="B2" s="6"/>
      <c r="C2" s="6"/>
    </row>
    <row r="3" spans="1:5" x14ac:dyDescent="0.2">
      <c r="A3" s="2" t="s">
        <v>7</v>
      </c>
      <c r="B3" s="4" t="s">
        <v>8</v>
      </c>
      <c r="C3" s="4"/>
    </row>
    <row r="4" spans="1:5" ht="13.5" thickBot="1" x14ac:dyDescent="0.25">
      <c r="A4" s="26" t="s">
        <v>9</v>
      </c>
      <c r="B4" s="26" t="s">
        <v>1</v>
      </c>
      <c r="C4" s="26" t="s">
        <v>2</v>
      </c>
      <c r="D4" s="26" t="s">
        <v>15</v>
      </c>
    </row>
    <row r="5" spans="1:5" x14ac:dyDescent="0.2">
      <c r="A5" s="8" t="s">
        <v>1</v>
      </c>
      <c r="B5" s="15">
        <f>Data!C9-Data!C7</f>
        <v>13</v>
      </c>
      <c r="C5" s="15">
        <f>Data!C11-Data!C7</f>
        <v>-12</v>
      </c>
      <c r="D5" s="18">
        <f>SUMPRODUCT($B$10:$C$10,B5:C5)</f>
        <v>-1.9999999999999991</v>
      </c>
      <c r="E5" s="33" t="str">
        <f>IF(D5=MAX($D$5:$D$8),"&lt;--maximum","")</f>
        <v/>
      </c>
    </row>
    <row r="6" spans="1:5" x14ac:dyDescent="0.2">
      <c r="A6" s="8" t="s">
        <v>2</v>
      </c>
      <c r="B6" s="15">
        <f>Data!D11-Data!D7</f>
        <v>-8</v>
      </c>
      <c r="C6" s="15">
        <f>Data!D9-Data!D7</f>
        <v>11</v>
      </c>
      <c r="D6" s="18">
        <f>SUMPRODUCT($B$10:$C$10,B6:C6)</f>
        <v>3.3999999999999995</v>
      </c>
      <c r="E6" s="33" t="str">
        <f>IF(D6=MAX($D$5:$D$8),"&lt;--maximum","")</f>
        <v>&lt;--maximum</v>
      </c>
    </row>
    <row r="7" spans="1:5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D7" s="18">
        <f>SUMPRODUCT($B$10:$C$10,B7:C7)</f>
        <v>1.4</v>
      </c>
      <c r="E7" s="33" t="str">
        <f>IF(D7=MAX($D$5:$D$8),"&lt;--maximum","")</f>
        <v/>
      </c>
    </row>
    <row r="8" spans="1:5" ht="13.5" thickBot="1" x14ac:dyDescent="0.25">
      <c r="A8" s="26" t="s">
        <v>11</v>
      </c>
      <c r="B8" s="29">
        <v>0</v>
      </c>
      <c r="C8" s="29">
        <v>0</v>
      </c>
      <c r="D8" s="34">
        <f>SUMPRODUCT($B$10:$C$10,B8:C8)</f>
        <v>0</v>
      </c>
      <c r="E8" s="33" t="str">
        <f>IF(D8=MAX($D$5:$D$8),"&lt;--maximum","")</f>
        <v/>
      </c>
    </row>
    <row r="9" spans="1:5" x14ac:dyDescent="0.2">
      <c r="A9" s="13"/>
      <c r="B9" s="1"/>
      <c r="C9" s="1"/>
    </row>
    <row r="10" spans="1:5" x14ac:dyDescent="0.2">
      <c r="A10" s="2" t="s">
        <v>16</v>
      </c>
      <c r="B10" s="1">
        <v>0.4</v>
      </c>
      <c r="C10" s="1">
        <f>1-B10</f>
        <v>0.6</v>
      </c>
    </row>
    <row r="12" spans="1:5" x14ac:dyDescent="0.2">
      <c r="A12" s="42"/>
      <c r="B12" s="12"/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3"/>
  <sheetViews>
    <sheetView zoomScale="105" workbookViewId="0"/>
  </sheetViews>
  <sheetFormatPr defaultRowHeight="12.75" x14ac:dyDescent="0.2"/>
  <cols>
    <col min="1" max="1" width="23.7109375" customWidth="1"/>
    <col min="2" max="4" width="12.85546875" customWidth="1"/>
    <col min="5" max="5" width="11.85546875" customWidth="1"/>
  </cols>
  <sheetData>
    <row r="1" spans="1:6" ht="20.25" customHeight="1" x14ac:dyDescent="0.2">
      <c r="A1" s="10"/>
      <c r="B1" s="6"/>
      <c r="C1" s="6"/>
      <c r="D1" s="1"/>
    </row>
    <row r="2" spans="1:6" ht="20.25" customHeight="1" x14ac:dyDescent="0.2">
      <c r="A2" s="10"/>
      <c r="B2" s="6"/>
      <c r="C2" s="6"/>
      <c r="D2" s="1"/>
    </row>
    <row r="3" spans="1:6" x14ac:dyDescent="0.2">
      <c r="A3" s="2" t="s">
        <v>7</v>
      </c>
      <c r="B3" s="4" t="s">
        <v>8</v>
      </c>
      <c r="C3" s="4"/>
    </row>
    <row r="4" spans="1:6" ht="13.5" thickBot="1" x14ac:dyDescent="0.25">
      <c r="A4" s="26" t="s">
        <v>9</v>
      </c>
      <c r="B4" s="26" t="s">
        <v>1</v>
      </c>
      <c r="C4" s="26" t="s">
        <v>2</v>
      </c>
      <c r="D4" s="26" t="s">
        <v>17</v>
      </c>
      <c r="F4" s="2"/>
    </row>
    <row r="5" spans="1:6" x14ac:dyDescent="0.2">
      <c r="A5" s="8" t="s">
        <v>1</v>
      </c>
      <c r="B5" s="15">
        <f>MAX('Payoff Matrix'!B$5:B$8)-'Payoff Matrix'!B5</f>
        <v>0</v>
      </c>
      <c r="C5" s="15">
        <f>MAX('Payoff Matrix'!C$5:C$8)-'Payoff Matrix'!C5</f>
        <v>23</v>
      </c>
      <c r="D5" s="18">
        <f>SUMPRODUCT($B$10:$C$10,B5:C5)</f>
        <v>13.799999999999999</v>
      </c>
      <c r="E5" s="33" t="str">
        <f>IF(D5=MIN($D$5:$D$8),"&lt;--minimum","")</f>
        <v/>
      </c>
      <c r="F5" s="5"/>
    </row>
    <row r="6" spans="1:6" x14ac:dyDescent="0.2">
      <c r="A6" s="8" t="s">
        <v>2</v>
      </c>
      <c r="B6" s="15">
        <f>MAX('Payoff Matrix'!B$5:B$8)-'Payoff Matrix'!B6</f>
        <v>21</v>
      </c>
      <c r="C6" s="15">
        <f>MAX('Payoff Matrix'!C$5:C$8)-'Payoff Matrix'!C6</f>
        <v>0</v>
      </c>
      <c r="D6" s="18">
        <f>SUMPRODUCT($B$10:$C$10,B6:C6)</f>
        <v>8.4</v>
      </c>
      <c r="E6" s="33" t="str">
        <f>IF(D6=MIN($D$5:$D$8),"&lt;--minimum","")</f>
        <v>&lt;--minimum</v>
      </c>
      <c r="F6" s="5"/>
    </row>
    <row r="7" spans="1:6" x14ac:dyDescent="0.2">
      <c r="A7" s="8" t="s">
        <v>10</v>
      </c>
      <c r="B7" s="15">
        <f>MAX('Payoff Matrix'!B$5:B$8)-'Payoff Matrix'!B7</f>
        <v>8</v>
      </c>
      <c r="C7" s="15">
        <f>MAX('Payoff Matrix'!C$5:C$8)-'Payoff Matrix'!C7</f>
        <v>12</v>
      </c>
      <c r="D7" s="18">
        <f>SUMPRODUCT($B$10:$C$10,B7:C7)</f>
        <v>10.399999999999999</v>
      </c>
      <c r="E7" s="33" t="str">
        <f>IF(D7=MIN($D$5:$D$8),"&lt;--minimum","")</f>
        <v/>
      </c>
      <c r="F7" s="5"/>
    </row>
    <row r="8" spans="1:6" ht="13.5" thickBot="1" x14ac:dyDescent="0.25">
      <c r="A8" s="26" t="s">
        <v>11</v>
      </c>
      <c r="B8" s="29">
        <f>MAX('Payoff Matrix'!B$5:B$8)-'Payoff Matrix'!B8</f>
        <v>13</v>
      </c>
      <c r="C8" s="29">
        <f>MAX('Payoff Matrix'!C$5:C$8)-'Payoff Matrix'!C8</f>
        <v>11</v>
      </c>
      <c r="D8" s="34">
        <f>SUMPRODUCT($B$10:$C$10,B8:C8)</f>
        <v>11.8</v>
      </c>
      <c r="E8" s="33" t="str">
        <f>IF(D8=MIN($D$5:$D$8),"&lt;--minimum","")</f>
        <v/>
      </c>
      <c r="F8" s="5"/>
    </row>
    <row r="9" spans="1:6" x14ac:dyDescent="0.2">
      <c r="B9" s="1"/>
      <c r="C9" s="1"/>
      <c r="F9" s="5"/>
    </row>
    <row r="10" spans="1:6" x14ac:dyDescent="0.2">
      <c r="A10" s="8" t="s">
        <v>16</v>
      </c>
      <c r="B10" s="20">
        <f>'Expected Value'!B10</f>
        <v>0.4</v>
      </c>
      <c r="C10" s="20">
        <f>1-B10</f>
        <v>0.6</v>
      </c>
      <c r="D10" s="7"/>
      <c r="F10" s="5"/>
    </row>
    <row r="11" spans="1:6" x14ac:dyDescent="0.2">
      <c r="A11" s="8"/>
      <c r="B11" s="7"/>
      <c r="C11" s="7"/>
      <c r="D11" s="7"/>
      <c r="F11" s="5"/>
    </row>
    <row r="12" spans="1:6" x14ac:dyDescent="0.2">
      <c r="A12" s="39"/>
      <c r="B12" s="37"/>
      <c r="C12" s="1"/>
    </row>
    <row r="13" spans="1:6" x14ac:dyDescent="0.2">
      <c r="A13" s="36"/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4"/>
  <sheetViews>
    <sheetView workbookViewId="0"/>
  </sheetViews>
  <sheetFormatPr defaultRowHeight="12.75" x14ac:dyDescent="0.2"/>
  <cols>
    <col min="1" max="1" width="18.7109375" bestFit="1" customWidth="1"/>
    <col min="2" max="2" width="13" customWidth="1"/>
    <col min="3" max="3" width="12.42578125" customWidth="1"/>
    <col min="4" max="5" width="12.85546875" customWidth="1"/>
  </cols>
  <sheetData>
    <row r="1" spans="1:5" ht="20.25" customHeight="1" x14ac:dyDescent="0.2">
      <c r="A1" s="10"/>
      <c r="B1" s="6"/>
      <c r="C1" s="6"/>
    </row>
    <row r="2" spans="1:5" ht="20.25" customHeight="1" x14ac:dyDescent="0.2">
      <c r="A2" s="10"/>
      <c r="B2" s="6"/>
      <c r="C2" s="6"/>
    </row>
    <row r="3" spans="1:5" x14ac:dyDescent="0.2">
      <c r="A3" s="2" t="s">
        <v>7</v>
      </c>
      <c r="B3" s="4" t="s">
        <v>8</v>
      </c>
      <c r="C3" s="4"/>
    </row>
    <row r="4" spans="1:5" ht="13.5" thickBot="1" x14ac:dyDescent="0.25">
      <c r="A4" s="26" t="s">
        <v>9</v>
      </c>
      <c r="B4" s="26" t="s">
        <v>1</v>
      </c>
      <c r="C4" s="26" t="s">
        <v>2</v>
      </c>
      <c r="D4" s="26" t="s">
        <v>15</v>
      </c>
    </row>
    <row r="5" spans="1:5" x14ac:dyDescent="0.2">
      <c r="A5" s="8" t="s">
        <v>1</v>
      </c>
      <c r="B5" s="15">
        <f>Data!C9-Data!C7</f>
        <v>13</v>
      </c>
      <c r="C5" s="15">
        <f>Data!C11-Data!C7</f>
        <v>-12</v>
      </c>
      <c r="D5" s="18">
        <f>SUMPRODUCT($B$10:$C$10,B5:C5)</f>
        <v>-1.9999999999999991</v>
      </c>
      <c r="E5" s="33" t="str">
        <f>IF(D5=MAX($D$5:$D$8),"&lt;--maximum","")</f>
        <v/>
      </c>
    </row>
    <row r="6" spans="1:5" x14ac:dyDescent="0.2">
      <c r="A6" s="8" t="s">
        <v>2</v>
      </c>
      <c r="B6" s="15">
        <f>Data!D11-Data!D7</f>
        <v>-8</v>
      </c>
      <c r="C6" s="15">
        <f>Data!D9-Data!D7</f>
        <v>11</v>
      </c>
      <c r="D6" s="18">
        <f>SUMPRODUCT($B$10:$C$10,B6:C6)</f>
        <v>3.3999999999999995</v>
      </c>
      <c r="E6" s="33"/>
    </row>
    <row r="7" spans="1:5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D7" s="18">
        <f>SUMPRODUCT($B$10:$C$10,B7:C7)</f>
        <v>1.4</v>
      </c>
      <c r="E7" s="33" t="str">
        <f>IF(D7=MAX($D$5:$D$8),"&lt;--maximum","")</f>
        <v/>
      </c>
    </row>
    <row r="8" spans="1:5" ht="13.5" thickBot="1" x14ac:dyDescent="0.25">
      <c r="A8" s="26" t="s">
        <v>11</v>
      </c>
      <c r="B8" s="29">
        <v>0</v>
      </c>
      <c r="C8" s="29">
        <v>0</v>
      </c>
      <c r="D8" s="34">
        <f>SUMPRODUCT($B$10:$C$10,B8:C8)</f>
        <v>0</v>
      </c>
      <c r="E8" s="33" t="str">
        <f>IF(D8=MAX($D$5:$D$8),"&lt;--maximum","")</f>
        <v/>
      </c>
    </row>
    <row r="9" spans="1:5" x14ac:dyDescent="0.2">
      <c r="A9" s="13"/>
      <c r="B9" s="1"/>
      <c r="C9" s="1"/>
    </row>
    <row r="10" spans="1:5" x14ac:dyDescent="0.2">
      <c r="A10" s="2" t="s">
        <v>16</v>
      </c>
      <c r="B10" s="1">
        <v>0.4</v>
      </c>
      <c r="C10" s="1">
        <f>1-B10</f>
        <v>0.6</v>
      </c>
    </row>
    <row r="12" spans="1:5" x14ac:dyDescent="0.2">
      <c r="A12" s="59"/>
      <c r="B12" s="60" t="s">
        <v>19</v>
      </c>
      <c r="C12" s="60" t="s">
        <v>20</v>
      </c>
      <c r="D12" s="60" t="s">
        <v>21</v>
      </c>
      <c r="E12" s="60" t="s">
        <v>22</v>
      </c>
    </row>
    <row r="13" spans="1:5" x14ac:dyDescent="0.2">
      <c r="A13" s="61" t="s">
        <v>23</v>
      </c>
      <c r="B13" s="62">
        <f>D5</f>
        <v>-1.9999999999999991</v>
      </c>
      <c r="C13" s="63">
        <f>D6</f>
        <v>3.3999999999999995</v>
      </c>
      <c r="D13" s="62">
        <f>D7</f>
        <v>1.4</v>
      </c>
      <c r="E13" s="62">
        <f>D8</f>
        <v>0</v>
      </c>
    </row>
    <row r="14" spans="1:5" x14ac:dyDescent="0.2">
      <c r="A14" s="64">
        <v>0</v>
      </c>
      <c r="B14" s="59">
        <f t="dataTable" ref="B14:E24" dt2D="0" dtr="0" r1="B10"/>
        <v>-12</v>
      </c>
      <c r="C14" s="59">
        <v>11</v>
      </c>
      <c r="D14" s="59">
        <v>-1</v>
      </c>
      <c r="E14" s="59">
        <v>0</v>
      </c>
    </row>
    <row r="15" spans="1:5" x14ac:dyDescent="0.2">
      <c r="A15" s="64">
        <v>0.1</v>
      </c>
      <c r="B15" s="59">
        <v>-9.5</v>
      </c>
      <c r="C15" s="59">
        <v>9.1</v>
      </c>
      <c r="D15" s="59">
        <v>-0.4</v>
      </c>
      <c r="E15" s="59">
        <v>0</v>
      </c>
    </row>
    <row r="16" spans="1:5" x14ac:dyDescent="0.2">
      <c r="A16" s="64">
        <v>0.2</v>
      </c>
      <c r="B16" s="59">
        <v>-7.0000000000000018</v>
      </c>
      <c r="C16" s="59">
        <v>7.2000000000000011</v>
      </c>
      <c r="D16" s="59">
        <v>0.19999999999999996</v>
      </c>
      <c r="E16" s="59">
        <v>0</v>
      </c>
    </row>
    <row r="17" spans="1:5" x14ac:dyDescent="0.2">
      <c r="A17" s="64">
        <v>0.3</v>
      </c>
      <c r="B17" s="59">
        <v>-4.4999999999999982</v>
      </c>
      <c r="C17" s="59">
        <v>5.2999999999999989</v>
      </c>
      <c r="D17" s="59">
        <v>0.8</v>
      </c>
      <c r="E17" s="59">
        <v>0</v>
      </c>
    </row>
    <row r="18" spans="1:5" x14ac:dyDescent="0.2">
      <c r="A18" s="64">
        <v>0.4</v>
      </c>
      <c r="B18" s="59">
        <v>-1.9999999999999991</v>
      </c>
      <c r="C18" s="59">
        <v>3.3999999999999995</v>
      </c>
      <c r="D18" s="59">
        <v>1.4</v>
      </c>
      <c r="E18" s="59">
        <v>0</v>
      </c>
    </row>
    <row r="19" spans="1:5" x14ac:dyDescent="0.2">
      <c r="A19" s="64">
        <v>0.5</v>
      </c>
      <c r="B19" s="59">
        <v>0.5</v>
      </c>
      <c r="C19" s="59">
        <v>1.5</v>
      </c>
      <c r="D19" s="59">
        <v>2</v>
      </c>
      <c r="E19" s="59">
        <v>0</v>
      </c>
    </row>
    <row r="20" spans="1:5" x14ac:dyDescent="0.2">
      <c r="A20" s="64">
        <v>0.6</v>
      </c>
      <c r="B20" s="59">
        <v>2.9999999999999991</v>
      </c>
      <c r="C20" s="59">
        <v>-0.39999999999999947</v>
      </c>
      <c r="D20" s="59">
        <v>2.6</v>
      </c>
      <c r="E20" s="59">
        <v>0</v>
      </c>
    </row>
    <row r="21" spans="1:5" x14ac:dyDescent="0.2">
      <c r="A21" s="64">
        <v>0.7</v>
      </c>
      <c r="B21" s="59">
        <v>5.4999999999999991</v>
      </c>
      <c r="C21" s="59">
        <v>-2.2999999999999989</v>
      </c>
      <c r="D21" s="59">
        <v>3.2</v>
      </c>
      <c r="E21" s="59">
        <v>0</v>
      </c>
    </row>
    <row r="22" spans="1:5" x14ac:dyDescent="0.2">
      <c r="A22" s="64">
        <v>0.8</v>
      </c>
      <c r="B22" s="59">
        <v>8</v>
      </c>
      <c r="C22" s="59">
        <v>-4.2000000000000011</v>
      </c>
      <c r="D22" s="59">
        <v>3.8</v>
      </c>
      <c r="E22" s="59">
        <v>0</v>
      </c>
    </row>
    <row r="23" spans="1:5" x14ac:dyDescent="0.2">
      <c r="A23" s="64">
        <v>0.9</v>
      </c>
      <c r="B23" s="59">
        <v>10.500000000000002</v>
      </c>
      <c r="C23" s="59">
        <v>-6.1000000000000005</v>
      </c>
      <c r="D23" s="59">
        <v>4.4000000000000004</v>
      </c>
      <c r="E23" s="59">
        <v>0</v>
      </c>
    </row>
    <row r="24" spans="1:5" x14ac:dyDescent="0.2">
      <c r="A24" s="64">
        <v>1</v>
      </c>
      <c r="B24" s="59">
        <v>13</v>
      </c>
      <c r="C24" s="59">
        <v>-8</v>
      </c>
      <c r="D24" s="59">
        <v>5</v>
      </c>
      <c r="E24" s="59">
        <v>0</v>
      </c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4"/>
  <sheetViews>
    <sheetView tabSelected="1" zoomScale="110" workbookViewId="0">
      <selection activeCell="A20" sqref="A20"/>
    </sheetView>
  </sheetViews>
  <sheetFormatPr defaultRowHeight="12.75" x14ac:dyDescent="0.2"/>
  <cols>
    <col min="1" max="1" width="23.5703125" customWidth="1"/>
    <col min="2" max="3" width="12.7109375" customWidth="1"/>
    <col min="5" max="5" width="12.42578125" customWidth="1"/>
  </cols>
  <sheetData>
    <row r="1" spans="1:5" ht="20.25" customHeight="1" x14ac:dyDescent="0.2">
      <c r="A1" s="10"/>
      <c r="B1" s="6"/>
      <c r="C1" s="16"/>
    </row>
    <row r="2" spans="1:5" ht="20.25" customHeight="1" x14ac:dyDescent="0.2">
      <c r="A2" s="10"/>
      <c r="B2" s="6"/>
      <c r="C2" s="6"/>
    </row>
    <row r="3" spans="1:5" x14ac:dyDescent="0.2">
      <c r="A3" s="2" t="s">
        <v>7</v>
      </c>
      <c r="B3" s="4" t="s">
        <v>8</v>
      </c>
      <c r="C3" s="4"/>
    </row>
    <row r="4" spans="1:5" ht="13.5" thickBot="1" x14ac:dyDescent="0.25">
      <c r="A4" s="26" t="s">
        <v>9</v>
      </c>
      <c r="B4" s="26" t="s">
        <v>1</v>
      </c>
      <c r="C4" s="26" t="s">
        <v>2</v>
      </c>
      <c r="D4" s="26" t="s">
        <v>15</v>
      </c>
    </row>
    <row r="5" spans="1:5" x14ac:dyDescent="0.2">
      <c r="A5" s="8" t="s">
        <v>1</v>
      </c>
      <c r="B5" s="15">
        <f>Data!C9-Data!C7</f>
        <v>13</v>
      </c>
      <c r="C5" s="15">
        <f>Data!C11-Data!C7</f>
        <v>-12</v>
      </c>
      <c r="D5" s="17">
        <f>SUMPRODUCT(B5:C5,$B$10:$C$10)</f>
        <v>-1.9999999999999991</v>
      </c>
      <c r="E5" s="33" t="str">
        <f>IF(D5=MAX($D$5:$D$8),"&lt;--maximum","")</f>
        <v/>
      </c>
    </row>
    <row r="6" spans="1:5" x14ac:dyDescent="0.2">
      <c r="A6" s="8" t="s">
        <v>2</v>
      </c>
      <c r="B6" s="15">
        <f>Data!D11-Data!D7</f>
        <v>-8</v>
      </c>
      <c r="C6" s="15">
        <f>Data!D9-Data!D7</f>
        <v>11</v>
      </c>
      <c r="D6" s="17">
        <f>SUMPRODUCT(B6:C6,$B$10:$C$10)</f>
        <v>3.3999999999999995</v>
      </c>
      <c r="E6" s="33" t="str">
        <f>IF(D6=MAX($D$5:$D$8),"&lt;--maximum","")</f>
        <v>&lt;--maximum</v>
      </c>
    </row>
    <row r="7" spans="1:5" x14ac:dyDescent="0.2">
      <c r="A7" s="8" t="s">
        <v>10</v>
      </c>
      <c r="B7" s="15">
        <f>Data!C9+Data!D11-Data!C7-Data!D7</f>
        <v>5</v>
      </c>
      <c r="C7" s="15">
        <f>Data!D9+Data!C11-Data!C7-Data!D7</f>
        <v>-1</v>
      </c>
      <c r="D7" s="17">
        <f>SUMPRODUCT(B7:C7,$B$10:$C$10)</f>
        <v>1.4</v>
      </c>
      <c r="E7" s="33" t="str">
        <f>IF(D7=MAX($D$5:$D$8),"&lt;--maximum","")</f>
        <v/>
      </c>
    </row>
    <row r="8" spans="1:5" ht="13.5" thickBot="1" x14ac:dyDescent="0.25">
      <c r="A8" s="26" t="s">
        <v>11</v>
      </c>
      <c r="B8" s="29">
        <v>0</v>
      </c>
      <c r="C8" s="29">
        <v>0</v>
      </c>
      <c r="D8" s="35">
        <f>SUMPRODUCT(B8:C8,$B$10:$C$10)</f>
        <v>0</v>
      </c>
      <c r="E8" s="33" t="str">
        <f>IF(D8=MAX($D$5:$D$8),"&lt;--maximum","")</f>
        <v/>
      </c>
    </row>
    <row r="9" spans="1:5" x14ac:dyDescent="0.2">
      <c r="B9" s="1"/>
      <c r="C9" s="1"/>
    </row>
    <row r="10" spans="1:5" x14ac:dyDescent="0.2">
      <c r="A10" s="2" t="s">
        <v>16</v>
      </c>
      <c r="B10" s="1">
        <f>'Expected Regret'!B10</f>
        <v>0.4</v>
      </c>
      <c r="C10" s="1">
        <f>'Expected Regret'!C10</f>
        <v>0.6</v>
      </c>
    </row>
    <row r="11" spans="1:5" x14ac:dyDescent="0.2">
      <c r="A11" s="1"/>
      <c r="B11" s="1"/>
      <c r="C11" s="1"/>
    </row>
    <row r="12" spans="1:5" ht="25.5" x14ac:dyDescent="0.2">
      <c r="A12" s="65" t="s">
        <v>32</v>
      </c>
      <c r="B12" s="14">
        <f>MAX(B5:B8)</f>
        <v>13</v>
      </c>
      <c r="C12" s="14">
        <f>MAX(C5:C8)</f>
        <v>11</v>
      </c>
      <c r="D12" s="17">
        <f>SUMPRODUCT(B12:C12,$B$10:$C$10)</f>
        <v>11.8</v>
      </c>
      <c r="E12" s="19"/>
    </row>
    <row r="13" spans="1:5" x14ac:dyDescent="0.2">
      <c r="A13" s="66" t="s">
        <v>33</v>
      </c>
    </row>
    <row r="14" spans="1:5" x14ac:dyDescent="0.2">
      <c r="C14" s="66" t="s">
        <v>18</v>
      </c>
      <c r="D14" s="18">
        <f>D12-MAX(D5:D8)</f>
        <v>8.4000000000000021</v>
      </c>
      <c r="E14" s="12"/>
    </row>
  </sheetData>
  <phoneticPr fontId="9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Payoff Matrix</vt:lpstr>
      <vt:lpstr>Maximax</vt:lpstr>
      <vt:lpstr>Maximin</vt:lpstr>
      <vt:lpstr>Minimax Regret</vt:lpstr>
      <vt:lpstr>Expected Value</vt:lpstr>
      <vt:lpstr>Expected Regret</vt:lpstr>
      <vt:lpstr>EMV Decision Table</vt:lpstr>
      <vt:lpstr>EVPI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Management Scien</dc:creator>
  <cp:lastModifiedBy>Poh Lim</cp:lastModifiedBy>
  <dcterms:created xsi:type="dcterms:W3CDTF">2006-09-13T13:15:10Z</dcterms:created>
  <dcterms:modified xsi:type="dcterms:W3CDTF">2018-09-15T01:11:17Z</dcterms:modified>
</cp:coreProperties>
</file>