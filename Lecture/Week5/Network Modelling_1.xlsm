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5\"/>
    </mc:Choice>
  </mc:AlternateContent>
  <bookViews>
    <workbookView xWindow="7680" yWindow="-12" windowWidth="7728" windowHeight="8256" firstSheet="1" activeTab="1"/>
  </bookViews>
  <sheets>
    <sheet name="Module1" sheetId="1" state="veryHidden" r:id=""/>
    <sheet name="Transshipment" sheetId="10" r:id="rId1"/>
    <sheet name="Shortest Route" sheetId="3" r:id="rId2"/>
    <sheet name="Generalised Flow" sheetId="11" r:id="rId3"/>
    <sheet name="Maximum Flow" sheetId="5" r:id="rId4"/>
  </sheets>
  <externalReferences>
    <externalReference r:id="rId5"/>
    <externalReference r:id="rId6"/>
    <externalReference r:id="rId7"/>
  </externalReferences>
  <definedNames>
    <definedName name="solver_adj" localSheetId="3" hidden="1">'Generalised Flow'!$A$6:$A$19</definedName>
    <definedName name="solver_adj" localSheetId="2" hidden="1">'Shortest Route'!$B$7:$B$18</definedName>
    <definedName name="solver_adj" localSheetId="1" hidden="1">Transshipment!$B$6:$B$16</definedName>
    <definedName name="solver_cvg" localSheetId="3" hidden="1">0.0001</definedName>
    <definedName name="solver_cvg" localSheetId="2" hidden="1">0.0001</definedName>
    <definedName name="solver_cvg" localSheetId="1" hidden="1">0.0001</definedName>
    <definedName name="solver_drv" localSheetId="3" hidden="1">1</definedName>
    <definedName name="solver_drv" localSheetId="2" hidden="1">1</definedName>
    <definedName name="solver_drv" localSheetId="1" hidden="1">2</definedName>
    <definedName name="solver_eng" localSheetId="3" hidden="1">1</definedName>
    <definedName name="solver_eng" localSheetId="2" hidden="1">2</definedName>
    <definedName name="solver_eng" localSheetId="1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ibd" localSheetId="2" hidden="1">2</definedName>
    <definedName name="solver_itr" localSheetId="3" hidden="1">2147483647</definedName>
    <definedName name="solver_itr" localSheetId="2" hidden="1">1000</definedName>
    <definedName name="solver_itr" localSheetId="1" hidden="1">2147483647</definedName>
    <definedName name="solver_lhs1" localSheetId="3" hidden="1">'Generalised Flow'!$A$6:$A$19</definedName>
    <definedName name="solver_lhs1" localSheetId="2" hidden="1">'Shortest Route'!$K$7:$K$13</definedName>
    <definedName name="solver_lhs1" localSheetId="1" hidden="1">Transshipment!$B$6:$B$16</definedName>
    <definedName name="solver_lhs2" localSheetId="3" hidden="1">'Generalised Flow'!$L$6:$L$14</definedName>
    <definedName name="solver_lhs2" localSheetId="2" hidden="1">'Shortest Route'!$B$7:$B$18</definedName>
    <definedName name="solver_lhs2" localSheetId="1" hidden="1">Transshipment!$K$6:$K$12</definedName>
    <definedName name="solver_lhs3" localSheetId="2" hidden="1">'Shortest Route'!$K$7:$K$13</definedName>
    <definedName name="solver_lin" localSheetId="2" hidden="1">1</definedName>
    <definedName name="solver_lva" localSheetId="2" hidden="1">2</definedName>
    <definedName name="solver_mip" localSheetId="3" hidden="1">2147483647</definedName>
    <definedName name="solver_mip" localSheetId="2" hidden="1">1000</definedName>
    <definedName name="solver_mip" localSheetId="1" hidden="1">2147483647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sl" localSheetId="3" hidden="1">2</definedName>
    <definedName name="solver_msl" localSheetId="1" hidden="1">2</definedName>
    <definedName name="solver_neg" localSheetId="3" hidden="1">1</definedName>
    <definedName name="solver_neg" localSheetId="2" hidden="1">2</definedName>
    <definedName name="solver_neg" localSheetId="1" hidden="1">1</definedName>
    <definedName name="solver_nod" localSheetId="3" hidden="1">2147483647</definedName>
    <definedName name="solver_nod" localSheetId="2" hidden="1">1000</definedName>
    <definedName name="solver_nod" localSheetId="1" hidden="1">2147483647</definedName>
    <definedName name="solver_num" localSheetId="3" hidden="1">2</definedName>
    <definedName name="solver_num" localSheetId="2" hidden="1">2</definedName>
    <definedName name="solver_num" localSheetId="1" hidden="1">2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ofx" localSheetId="2" hidden="1">2</definedName>
    <definedName name="solver_opt" localSheetId="3" hidden="1">'Generalised Flow'!$H$21</definedName>
    <definedName name="solver_opt" localSheetId="2" hidden="1">'Shortest Route'!$G$20</definedName>
    <definedName name="solver_opt" localSheetId="1" hidden="1">Transshipment!$G$18</definedName>
    <definedName name="solver_piv" localSheetId="2" hidden="1">0.000001</definedName>
    <definedName name="solver_pre" localSheetId="3" hidden="1">0.000001</definedName>
    <definedName name="solver_pre" localSheetId="2" hidden="1">0.00000001</definedName>
    <definedName name="solver_pre" localSheetId="1" hidden="1">0.000001</definedName>
    <definedName name="solver_pro" localSheetId="2" hidden="1">2</definedName>
    <definedName name="solver_rbv" localSheetId="3" hidden="1">1</definedName>
    <definedName name="solver_rbv" localSheetId="2" hidden="1">1</definedName>
    <definedName name="solver_rbv" localSheetId="1" hidden="1">2</definedName>
    <definedName name="solver_red" localSheetId="2" hidden="1">0.000001</definedName>
    <definedName name="solver_rel1" localSheetId="3" hidden="1">3</definedName>
    <definedName name="solver_rel1" localSheetId="2" hidden="1">2</definedName>
    <definedName name="solver_rel1" localSheetId="1" hidden="1">3</definedName>
    <definedName name="solver_rel2" localSheetId="3" hidden="1">3</definedName>
    <definedName name="solver_rel2" localSheetId="2" hidden="1">3</definedName>
    <definedName name="solver_rel2" localSheetId="1" hidden="1">3</definedName>
    <definedName name="solver_rel3" localSheetId="2" hidden="1">2</definedName>
    <definedName name="solver_reo" localSheetId="2" hidden="1">2</definedName>
    <definedName name="solver_rep" localSheetId="2" hidden="1">2</definedName>
    <definedName name="solver_rhs1" localSheetId="3" hidden="1">0</definedName>
    <definedName name="solver_rhs1" localSheetId="2" hidden="1">'Shortest Route'!$L$7:$L$13</definedName>
    <definedName name="solver_rhs1" localSheetId="1" hidden="1">0</definedName>
    <definedName name="solver_rhs2" localSheetId="3" hidden="1">'Generalised Flow'!$M$6:$M$14</definedName>
    <definedName name="solver_rhs2" localSheetId="2" hidden="1">0</definedName>
    <definedName name="solver_rhs2" localSheetId="1" hidden="1">Transshipment!$L$6:$L$12</definedName>
    <definedName name="solver_rhs3" localSheetId="2" hidden="1">'Shortest Route'!$L$7:$L$13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sd" localSheetId="3" hidden="1">0</definedName>
    <definedName name="solver_rsd" localSheetId="1" hidden="1">0</definedName>
    <definedName name="solver_scl" localSheetId="3" hidden="1">1</definedName>
    <definedName name="solver_scl" localSheetId="2" hidden="1">2</definedName>
    <definedName name="solver_scl" localSheetId="1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std" localSheetId="2" hidden="1">0</definedName>
    <definedName name="solver_tim" localSheetId="3" hidden="1">2147483647</definedName>
    <definedName name="solver_tim" localSheetId="2" hidden="1">100</definedName>
    <definedName name="solver_tim" localSheetId="1" hidden="1">2147483647</definedName>
    <definedName name="solver_tol" localSheetId="3" hidden="1">0.01</definedName>
    <definedName name="solver_tol" localSheetId="2" hidden="1">0</definedName>
    <definedName name="solver_tol" localSheetId="1" hidden="1">0.01</definedName>
    <definedName name="solver_typ" localSheetId="3" hidden="1">2</definedName>
    <definedName name="solver_typ" localSheetId="2" hidden="1">2</definedName>
    <definedName name="solver_typ" localSheetId="1" hidden="1">2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er" localSheetId="3" hidden="1">3</definedName>
    <definedName name="solver_ver" localSheetId="2" hidden="1">2</definedName>
    <definedName name="solver_ver" localSheetId="1" hidden="1">3</definedName>
  </definedNames>
  <calcPr calcId="162913"/>
</workbook>
</file>

<file path=xl/calcChain.xml><?xml version="1.0" encoding="utf-8"?>
<calcChain xmlns="http://schemas.openxmlformats.org/spreadsheetml/2006/main">
  <c r="F7" i="5" l="1"/>
  <c r="F8" i="5"/>
  <c r="F9" i="5"/>
  <c r="F10" i="5"/>
  <c r="F11" i="5"/>
  <c r="F12" i="5"/>
  <c r="F13" i="5"/>
  <c r="F14" i="5"/>
  <c r="D7" i="5"/>
  <c r="D8" i="5"/>
  <c r="D9" i="5"/>
  <c r="D10" i="5"/>
  <c r="D11" i="5"/>
  <c r="D12" i="5"/>
  <c r="D13" i="5"/>
  <c r="D14" i="5"/>
  <c r="F6" i="5"/>
  <c r="D6" i="5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6" i="11"/>
  <c r="C6" i="11"/>
  <c r="D8" i="3"/>
  <c r="D9" i="3"/>
  <c r="D10" i="3"/>
  <c r="D11" i="3"/>
  <c r="D12" i="3"/>
  <c r="D13" i="3"/>
  <c r="D14" i="3"/>
  <c r="D15" i="3"/>
  <c r="D16" i="3"/>
  <c r="D17" i="3"/>
  <c r="D18" i="3"/>
  <c r="F8" i="3"/>
  <c r="F9" i="3"/>
  <c r="F10" i="3"/>
  <c r="F11" i="3"/>
  <c r="F12" i="3"/>
  <c r="F13" i="3"/>
  <c r="F14" i="3"/>
  <c r="F15" i="3"/>
  <c r="F16" i="3"/>
  <c r="F17" i="3"/>
  <c r="F18" i="3"/>
  <c r="F7" i="3"/>
  <c r="D7" i="3"/>
  <c r="F7" i="10"/>
  <c r="F8" i="10"/>
  <c r="F9" i="10"/>
  <c r="F10" i="10"/>
  <c r="F11" i="10"/>
  <c r="F12" i="10"/>
  <c r="F13" i="10"/>
  <c r="F14" i="10"/>
  <c r="F15" i="10"/>
  <c r="F16" i="10"/>
  <c r="D7" i="10"/>
  <c r="D8" i="10"/>
  <c r="D9" i="10"/>
  <c r="D10" i="10"/>
  <c r="D11" i="10"/>
  <c r="D12" i="10"/>
  <c r="D13" i="10"/>
  <c r="D14" i="10"/>
  <c r="D15" i="10"/>
  <c r="D16" i="10"/>
  <c r="F6" i="10"/>
  <c r="D6" i="10"/>
  <c r="H21" i="11" l="1"/>
  <c r="E19" i="11"/>
  <c r="E18" i="11"/>
  <c r="E17" i="11"/>
  <c r="E16" i="11"/>
  <c r="L14" i="11" s="1"/>
  <c r="E15" i="11"/>
  <c r="E14" i="11"/>
  <c r="E13" i="11"/>
  <c r="E12" i="11"/>
  <c r="E11" i="11"/>
  <c r="E10" i="11"/>
  <c r="L9" i="11"/>
  <c r="E9" i="11"/>
  <c r="L8" i="11"/>
  <c r="E8" i="11"/>
  <c r="L7" i="11"/>
  <c r="E7" i="11"/>
  <c r="L6" i="11"/>
  <c r="E6" i="11"/>
  <c r="L13" i="11" l="1"/>
  <c r="L12" i="11"/>
  <c r="L10" i="11"/>
  <c r="L11" i="11"/>
  <c r="G18" i="10"/>
  <c r="K12" i="10"/>
  <c r="K11" i="10"/>
  <c r="K10" i="10"/>
  <c r="K9" i="10"/>
  <c r="K8" i="10"/>
  <c r="K7" i="10"/>
  <c r="K6" i="10"/>
  <c r="B16" i="5" l="1"/>
  <c r="K11" i="5"/>
  <c r="K10" i="5"/>
  <c r="K9" i="5"/>
  <c r="K8" i="5"/>
  <c r="K7" i="5"/>
  <c r="K6" i="5"/>
  <c r="J15" i="3"/>
  <c r="G20" i="3"/>
  <c r="K13" i="3"/>
  <c r="K12" i="3"/>
  <c r="K11" i="3"/>
  <c r="K10" i="3"/>
  <c r="K9" i="3"/>
  <c r="K8" i="3"/>
  <c r="K7" i="3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B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>Objective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  <author>user</author>
  </authors>
  <commentList>
    <comment ref="B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J15" authorId="1" shapeId="0">
      <text>
        <r>
          <rPr>
            <b/>
            <sz val="12"/>
            <color indexed="81"/>
            <rFont val="Tahoma"/>
            <family val="2"/>
          </rPr>
          <t>=SUMIF($E$7:$E$18,I8,$B$7:$B$18) - SUMIF($C$7:$C$18,I8,$B$7:$B$18)</t>
        </r>
      </text>
    </comment>
    <comment ref="B1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20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3.xml><?xml version="1.0" encoding="utf-8"?>
<comments xmlns="http://schemas.openxmlformats.org/spreadsheetml/2006/main">
  <authors>
    <author>A satisfied Microsoft Office user</author>
  </authors>
  <commentList>
    <comment ref="A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L14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A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A1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A1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A1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A1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H21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4.xml><?xml version="1.0" encoding="utf-8"?>
<comments xmlns="http://schemas.openxmlformats.org/spreadsheetml/2006/main">
  <authors>
    <author>A satisfied Microsoft Office user</author>
  </authors>
  <commentList>
    <comment ref="B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6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sharedStrings.xml><?xml version="1.0" encoding="utf-8"?>
<sst xmlns="http://schemas.openxmlformats.org/spreadsheetml/2006/main" count="65" uniqueCount="53">
  <si>
    <t>Select</t>
  </si>
  <si>
    <t>Route?</t>
  </si>
  <si>
    <t xml:space="preserve">  From</t>
  </si>
  <si>
    <t xml:space="preserve">  To</t>
  </si>
  <si>
    <t xml:space="preserve">  Nodes</t>
  </si>
  <si>
    <t>Net Flow</t>
  </si>
  <si>
    <t>Supply/Demand</t>
  </si>
  <si>
    <t xml:space="preserve">Total </t>
  </si>
  <si>
    <t>A</t>
  </si>
  <si>
    <t>B</t>
  </si>
  <si>
    <t>C</t>
  </si>
  <si>
    <t>D</t>
  </si>
  <si>
    <t>E</t>
  </si>
  <si>
    <t>F</t>
  </si>
  <si>
    <t>G</t>
  </si>
  <si>
    <t>Distance</t>
  </si>
  <si>
    <t>Units</t>
  </si>
  <si>
    <t xml:space="preserve"> -- Arcs --</t>
  </si>
  <si>
    <t>Upper</t>
  </si>
  <si>
    <t>of Flow</t>
  </si>
  <si>
    <t>Bound</t>
  </si>
  <si>
    <t xml:space="preserve"> Maximal Flow</t>
  </si>
  <si>
    <t>Oil Field</t>
  </si>
  <si>
    <t>Station 1</t>
  </si>
  <si>
    <t>Station 2</t>
  </si>
  <si>
    <t>Station 3</t>
  </si>
  <si>
    <t>Station 4</t>
  </si>
  <si>
    <t>Refinery</t>
  </si>
  <si>
    <t>Ship</t>
  </si>
  <si>
    <t>Cost</t>
  </si>
  <si>
    <t>Unit Cost</t>
  </si>
  <si>
    <t>Newark</t>
  </si>
  <si>
    <t>Boston</t>
  </si>
  <si>
    <t>Columbus</t>
  </si>
  <si>
    <t>Richmond</t>
  </si>
  <si>
    <t>Atlanta</t>
  </si>
  <si>
    <t>Mobile</t>
  </si>
  <si>
    <t>Jacksonville</t>
  </si>
  <si>
    <t xml:space="preserve">Total Transportation Cost </t>
  </si>
  <si>
    <t xml:space="preserve">   Flow From Node</t>
  </si>
  <si>
    <t>Yield</t>
  </si>
  <si>
    <t>Flow Into Node</t>
  </si>
  <si>
    <t>Node</t>
  </si>
  <si>
    <t>Newspaper</t>
  </si>
  <si>
    <t>Mixed Paper</t>
  </si>
  <si>
    <t>White Office</t>
  </si>
  <si>
    <t>Cardboard</t>
  </si>
  <si>
    <t>Process 1</t>
  </si>
  <si>
    <t>Process 2</t>
  </si>
  <si>
    <t>Newsprint</t>
  </si>
  <si>
    <t>Packaging</t>
  </si>
  <si>
    <t>Print Stock</t>
  </si>
  <si>
    <t xml:space="preserve">Total Cost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</si>
</sst>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"/>
    <numFmt numFmtId="165" formatCode="0.0"/>
    <numFmt numFmtId="166" formatCode="#,##0.0"/>
    <numFmt numFmtId="167" formatCode="0.0_)"/>
  </numFmts>
  <fonts count="1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2"/>
      <color indexed="81"/>
      <name val="Tahoma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0" fillId="0" borderId="1" xfId="0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/>
    <xf numFmtId="0" fontId="3" fillId="0" borderId="2" xfId="0" applyFont="1" applyFill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  <xf numFmtId="165" fontId="5" fillId="2" borderId="3" xfId="0" applyNumberFormat="1" applyFont="1" applyFill="1" applyBorder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66" fontId="7" fillId="2" borderId="5" xfId="0" applyNumberFormat="1" applyFont="1" applyFill="1" applyBorder="1" applyAlignment="1">
      <alignment horizontal="center"/>
    </xf>
    <xf numFmtId="0" fontId="0" fillId="0" borderId="0" xfId="0" applyAlignment="1"/>
    <xf numFmtId="0" fontId="8" fillId="0" borderId="0" xfId="0" applyFont="1"/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167" fontId="5" fillId="2" borderId="3" xfId="0" applyNumberFormat="1" applyFont="1" applyFill="1" applyBorder="1" applyAlignment="1" applyProtection="1">
      <alignment horizontal="center"/>
    </xf>
    <xf numFmtId="167" fontId="7" fillId="2" borderId="5" xfId="0" applyNumberFormat="1" applyFont="1" applyFill="1" applyBorder="1" applyAlignment="1" applyProtection="1">
      <alignment horizontal="center"/>
    </xf>
    <xf numFmtId="0" fontId="0" fillId="0" borderId="0" xfId="0" applyBorder="1"/>
    <xf numFmtId="165" fontId="5" fillId="2" borderId="6" xfId="0" applyNumberFormat="1" applyFont="1" applyFill="1" applyBorder="1" applyAlignment="1">
      <alignment horizontal="center"/>
    </xf>
    <xf numFmtId="0" fontId="2" fillId="0" borderId="1" xfId="0" applyFont="1" applyBorder="1"/>
    <xf numFmtId="165" fontId="1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Continuous"/>
    </xf>
    <xf numFmtId="0" fontId="8" fillId="0" borderId="0" xfId="0" applyFont="1" applyAlignment="1"/>
    <xf numFmtId="0" fontId="8" fillId="0" borderId="0" xfId="0" applyFont="1" applyAlignment="1" applyProtection="1">
      <alignment horizontal="center"/>
    </xf>
    <xf numFmtId="0" fontId="8" fillId="0" borderId="0" xfId="0" applyFont="1" applyAlignment="1" applyProtection="1">
      <alignment horizontal="centerContinuous"/>
    </xf>
    <xf numFmtId="0" fontId="8" fillId="0" borderId="1" xfId="0" applyFont="1" applyBorder="1" applyAlignment="1" applyProtection="1">
      <alignment horizontal="center"/>
    </xf>
    <xf numFmtId="0" fontId="8" fillId="0" borderId="1" xfId="0" applyFont="1" applyBorder="1" applyAlignment="1" applyProtection="1">
      <alignment horizontal="left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3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9" fillId="0" borderId="1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right"/>
    </xf>
    <xf numFmtId="0" fontId="5" fillId="2" borderId="3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164" fontId="7" fillId="2" borderId="5" xfId="0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left"/>
    </xf>
    <xf numFmtId="164" fontId="8" fillId="0" borderId="0" xfId="0" applyNumberFormat="1" applyFont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5" fillId="2" borderId="8" xfId="0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Alignment="1">
      <alignment horizontal="left"/>
    </xf>
    <xf numFmtId="0" fontId="8" fillId="0" borderId="1" xfId="0" applyFont="1" applyBorder="1" applyAlignment="1"/>
    <xf numFmtId="0" fontId="8" fillId="0" borderId="1" xfId="0" applyFont="1" applyBorder="1" applyAlignment="1">
      <alignment horizontal="centerContinuous"/>
    </xf>
    <xf numFmtId="0" fontId="2" fillId="0" borderId="0" xfId="0" applyFont="1" applyFill="1" applyBorder="1" applyAlignment="1">
      <alignment horizontal="left"/>
    </xf>
    <xf numFmtId="2" fontId="8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8" fillId="0" borderId="0" xfId="0" applyFont="1" applyFill="1"/>
    <xf numFmtId="165" fontId="3" fillId="2" borderId="4" xfId="0" applyNumberFormat="1" applyFont="1" applyFill="1" applyBorder="1" applyAlignment="1">
      <alignment horizontal="center"/>
    </xf>
    <xf numFmtId="0" fontId="8" fillId="0" borderId="1" xfId="0" applyFont="1" applyFill="1" applyBorder="1"/>
    <xf numFmtId="165" fontId="3" fillId="2" borderId="9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65" fontId="5" fillId="2" borderId="8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2" fontId="8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left"/>
    </xf>
    <xf numFmtId="165" fontId="0" fillId="0" borderId="0" xfId="0" applyNumberFormat="1"/>
    <xf numFmtId="2" fontId="0" fillId="0" borderId="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1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7</xdr:col>
      <xdr:colOff>440575</xdr:colOff>
      <xdr:row>3</xdr:row>
      <xdr:rowOff>6754</xdr:rowOff>
    </xdr:to>
    <xdr:sp macro="[1]!Toggle" textlink="">
      <xdr:nvSpPr>
        <xdr:cNvPr id="4" name="Text 2"/>
        <xdr:cNvSpPr>
          <a:spLocks noChangeArrowheads="1"/>
        </xdr:cNvSpPr>
      </xdr:nvSpPr>
      <xdr:spPr bwMode="auto">
        <a:xfrm>
          <a:off x="899160" y="167640"/>
          <a:ext cx="2795155" cy="342034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Arial"/>
              <a:cs typeface="Arial"/>
            </a:rPr>
            <a:t>Bavarian Motor Company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11</xdr:col>
      <xdr:colOff>582757</xdr:colOff>
      <xdr:row>18</xdr:row>
      <xdr:rowOff>25457</xdr:rowOff>
    </xdr:to>
    <xdr:sp macro="" textlink="">
      <xdr:nvSpPr>
        <xdr:cNvPr id="6" name="Note"/>
        <xdr:cNvSpPr txBox="1">
          <a:spLocks noChangeArrowheads="1"/>
        </xdr:cNvSpPr>
      </xdr:nvSpPr>
      <xdr:spPr bwMode="auto">
        <a:xfrm>
          <a:off x="3733800" y="2362200"/>
          <a:ext cx="2259157" cy="72649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marL="0" marR="0" lvl="0" indent="0" algn="l" defTabSz="914400" rtl="0" eaLnBrk="1" fontAlgn="auto" latinLnBrk="0" hangingPunct="1">
            <a:lnSpc>
              <a:spcPts val="1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Fixedsys"/>
            </a:rPr>
            <a:t>Minimize:    G18</a:t>
          </a:r>
        </a:p>
        <a:p>
          <a:pPr marL="0" marR="0" lvl="0" indent="0" algn="l" defTabSz="914400" rtl="0" eaLnBrk="1" fontAlgn="auto" latinLnBrk="0" hangingPunct="1">
            <a:lnSpc>
              <a:spcPts val="1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Fixedsys"/>
            </a:rPr>
            <a:t>By changing: B6:B16</a:t>
          </a:r>
        </a:p>
        <a:p>
          <a:pPr marL="0" marR="0" lvl="0" indent="0" algn="l" defTabSz="914400" rtl="0" eaLnBrk="1" fontAlgn="auto" latinLnBrk="0" hangingPunct="1">
            <a:lnSpc>
              <a:spcPts val="1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Fixedsys"/>
            </a:rPr>
            <a:t>Subject to:  K6:K12&gt;=L6:L12</a:t>
          </a:r>
        </a:p>
        <a:p>
          <a:pPr marL="0" marR="0" lvl="0" indent="0" algn="l" defTabSz="914400" rtl="0" eaLnBrk="1" fontAlgn="auto" latinLnBrk="0" hangingPunct="1">
            <a:lnSpc>
              <a:spcPts val="1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Fixedsys"/>
            </a:rPr>
            <a:t>             B6:B16&gt;=0</a:t>
          </a:r>
        </a:p>
        <a:p>
          <a:pPr marL="0" marR="0" lvl="0" indent="0" algn="l" defTabSz="914400" rtl="0" eaLnBrk="1" fontAlgn="auto" latinLnBrk="0" hangingPunct="1">
            <a:lnSpc>
              <a:spcPts val="1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Fixedsys"/>
            </a:rPr>
            <a:t>                 </a:t>
          </a:r>
        </a:p>
        <a:p>
          <a:pPr marL="0" marR="0" lvl="0" indent="0" algn="l" defTabSz="914400" rtl="0" eaLnBrk="1" fontAlgn="auto" latinLnBrk="0" hangingPunct="1">
            <a:lnSpc>
              <a:spcPts val="9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Fixedsy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198120</xdr:colOff>
      <xdr:row>0</xdr:row>
      <xdr:rowOff>160020</xdr:rowOff>
    </xdr:from>
    <xdr:to>
      <xdr:col>10</xdr:col>
      <xdr:colOff>369570</xdr:colOff>
      <xdr:row>2</xdr:row>
      <xdr:rowOff>160020</xdr:rowOff>
    </xdr:to>
    <xdr:sp macro="[0]!Toggle" textlink="">
      <xdr:nvSpPr>
        <xdr:cNvPr id="2" name="Text 2"/>
        <xdr:cNvSpPr>
          <a:spLocks noChangeArrowheads="1"/>
        </xdr:cNvSpPr>
      </xdr:nvSpPr>
      <xdr:spPr bwMode="auto">
        <a:xfrm>
          <a:off x="2333625" y="152400"/>
          <a:ext cx="3019425" cy="3238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Yellow Jacket Freightways</a:t>
          </a:r>
        </a:p>
      </xdr:txBody>
    </xdr:sp>
    <xdr:clientData/>
  </xdr:twoCellAnchor>
  <xdr:twoCellAnchor>
    <xdr:from>
      <xdr:col>7</xdr:col>
      <xdr:colOff>217170</xdr:colOff>
      <xdr:row>17</xdr:row>
      <xdr:rowOff>66675</xdr:rowOff>
    </xdr:from>
    <xdr:to>
      <xdr:col>11</xdr:col>
      <xdr:colOff>1021097</xdr:colOff>
      <xdr:row>21</xdr:row>
      <xdr:rowOff>121973</xdr:rowOff>
    </xdr:to>
    <xdr:sp macro="" textlink="">
      <xdr:nvSpPr>
        <xdr:cNvPr id="2093" name="Note"/>
        <xdr:cNvSpPr txBox="1">
          <a:spLocks noChangeArrowheads="1"/>
        </xdr:cNvSpPr>
      </xdr:nvSpPr>
      <xdr:spPr bwMode="auto">
        <a:xfrm>
          <a:off x="3305175" y="2838450"/>
          <a:ext cx="2828925" cy="7429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G20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B7:B18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K7:K13=L7:L13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B7:B18&gt;=0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    </a:t>
          </a:r>
        </a:p>
        <a:p>
          <a:pPr algn="l" rtl="1">
            <a:defRPr sz="1000"/>
          </a:pPr>
          <a:endParaRPr lang="en-AU" sz="1000" b="0" i="0" strike="noStrike">
            <a:solidFill>
              <a:srgbClr val="000000"/>
            </a:solidFill>
            <a:latin typeface="Fixedsys"/>
          </a:endParaRPr>
        </a:p>
      </xdr:txBody>
    </xdr:sp>
    <xdr:clientData/>
  </xdr:twoCellAnchor>
  <xdr:twoCellAnchor>
    <xdr:from>
      <xdr:col>9</xdr:col>
      <xdr:colOff>220980</xdr:colOff>
      <xdr:row>6</xdr:row>
      <xdr:rowOff>106680</xdr:rowOff>
    </xdr:from>
    <xdr:to>
      <xdr:col>10</xdr:col>
      <xdr:colOff>381000</xdr:colOff>
      <xdr:row>13</xdr:row>
      <xdr:rowOff>121920</xdr:rowOff>
    </xdr:to>
    <xdr:sp macro="" textlink="">
      <xdr:nvSpPr>
        <xdr:cNvPr id="2111" name="Line 48"/>
        <xdr:cNvSpPr>
          <a:spLocks noChangeShapeType="1"/>
        </xdr:cNvSpPr>
      </xdr:nvSpPr>
      <xdr:spPr bwMode="auto">
        <a:xfrm flipV="1">
          <a:off x="4297680" y="1120140"/>
          <a:ext cx="388620" cy="11963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8</xdr:col>
      <xdr:colOff>249494</xdr:colOff>
      <xdr:row>3</xdr:row>
      <xdr:rowOff>1987</xdr:rowOff>
    </xdr:to>
    <xdr:sp macro="[2]!Toggle" textlink="">
      <xdr:nvSpPr>
        <xdr:cNvPr id="4" name="Text 1"/>
        <xdr:cNvSpPr>
          <a:spLocks noChangeArrowheads="1"/>
        </xdr:cNvSpPr>
      </xdr:nvSpPr>
      <xdr:spPr bwMode="auto">
        <a:xfrm>
          <a:off x="1539240" y="167640"/>
          <a:ext cx="3297494" cy="337267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Arial"/>
              <a:cs typeface="Arial"/>
            </a:rPr>
            <a:t>Coal Bank Hollow Recycling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12</xdr:col>
      <xdr:colOff>621009</xdr:colOff>
      <xdr:row>20</xdr:row>
      <xdr:rowOff>24171</xdr:rowOff>
    </xdr:to>
    <xdr:sp macro="" textlink="">
      <xdr:nvSpPr>
        <xdr:cNvPr id="6" name="Note"/>
        <xdr:cNvSpPr txBox="1">
          <a:spLocks noChangeArrowheads="1"/>
        </xdr:cNvSpPr>
      </xdr:nvSpPr>
      <xdr:spPr bwMode="auto">
        <a:xfrm>
          <a:off x="4975860" y="2697480"/>
          <a:ext cx="2442189" cy="70997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Fixedsys"/>
            </a:rPr>
            <a:t>Minimize:    H21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Fixedsys"/>
            </a:rPr>
            <a:t>By Changing: A6:A19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Fixedsys"/>
            </a:rPr>
            <a:t>Subject to:  L6:L14&gt;=M6:M14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Fixedsys"/>
            </a:rPr>
            <a:t>             A6:A19&gt;=0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Fixedsy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417195</xdr:colOff>
      <xdr:row>0</xdr:row>
      <xdr:rowOff>76200</xdr:rowOff>
    </xdr:from>
    <xdr:to>
      <xdr:col>9</xdr:col>
      <xdr:colOff>9512</xdr:colOff>
      <xdr:row>2</xdr:row>
      <xdr:rowOff>93387</xdr:rowOff>
    </xdr:to>
    <xdr:sp macro="[3]!Toggle" textlink="">
      <xdr:nvSpPr>
        <xdr:cNvPr id="1025" name="Text 1"/>
        <xdr:cNvSpPr>
          <a:spLocks noChangeArrowheads="1"/>
        </xdr:cNvSpPr>
      </xdr:nvSpPr>
      <xdr:spPr bwMode="auto">
        <a:xfrm>
          <a:off x="1638300" y="76200"/>
          <a:ext cx="216217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Northwest Petroleum</a:t>
          </a:r>
        </a:p>
      </xdr:txBody>
    </xdr:sp>
    <xdr:clientData/>
  </xdr:twoCellAnchor>
  <xdr:twoCellAnchor>
    <xdr:from>
      <xdr:col>8</xdr:col>
      <xdr:colOff>285750</xdr:colOff>
      <xdr:row>20</xdr:row>
      <xdr:rowOff>9525</xdr:rowOff>
    </xdr:from>
    <xdr:to>
      <xdr:col>12</xdr:col>
      <xdr:colOff>302900</xdr:colOff>
      <xdr:row>25</xdr:row>
      <xdr:rowOff>28575</xdr:rowOff>
    </xdr:to>
    <xdr:sp macro="" textlink="">
      <xdr:nvSpPr>
        <xdr:cNvPr id="1026" name="Note"/>
        <xdr:cNvSpPr txBox="1">
          <a:spLocks noChangeArrowheads="1"/>
        </xdr:cNvSpPr>
      </xdr:nvSpPr>
      <xdr:spPr bwMode="auto">
        <a:xfrm>
          <a:off x="3695700" y="3314700"/>
          <a:ext cx="2733675" cy="8286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B16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B6:B14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K6:K11=L6:L11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B6:B14&lt;=G6:G14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B6:B14&gt;=0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g5-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g5-1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Maximum%20Flo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Shipping Plan"/>
      <sheetName val="Fig5-2"/>
    </sheetNames>
    <definedNames>
      <definedName name="Toggle"/>
    </definedNames>
    <sheetDataSet>
      <sheetData sheetId="0" refreshError="1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Recycling Plan"/>
      <sheetName val="Fig5-17"/>
    </sheetNames>
    <definedNames>
      <definedName name="Toggle"/>
    </definedNames>
    <sheetDataSet>
      <sheetData sheetId="0" refreshError="1"/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Flow Report"/>
      <sheetName val="Lilliput Telephone Co"/>
      <sheetName val="Maximum Flow"/>
    </sheetNames>
    <definedNames>
      <definedName name="Toggle"/>
    </definedNames>
    <sheetDataSet>
      <sheetData sheetId="0" refreshError="1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L19"/>
  <sheetViews>
    <sheetView tabSelected="1" workbookViewId="0">
      <selection activeCell="F23" sqref="F23"/>
    </sheetView>
  </sheetViews>
  <sheetFormatPr defaultRowHeight="13.2" x14ac:dyDescent="0.25"/>
  <cols>
    <col min="1" max="1" width="5.44140625" customWidth="1"/>
    <col min="2" max="2" width="5.109375" customWidth="1"/>
    <col min="3" max="3" width="2.5546875" style="1" customWidth="1"/>
    <col min="4" max="4" width="12.109375" customWidth="1"/>
    <col min="5" max="5" width="3.109375" style="1" customWidth="1"/>
    <col min="6" max="6" width="10.109375" customWidth="1"/>
    <col min="7" max="7" width="9" style="1" customWidth="1"/>
    <col min="8" max="8" width="7" customWidth="1"/>
    <col min="9" max="9" width="3.33203125" style="1" customWidth="1"/>
    <col min="10" max="10" width="12.109375" customWidth="1"/>
    <col min="11" max="11" width="9" customWidth="1"/>
    <col min="12" max="12" width="15.44140625" style="1" customWidth="1"/>
  </cols>
  <sheetData>
    <row r="2" spans="2:12" x14ac:dyDescent="0.25">
      <c r="G2" s="22"/>
    </row>
    <row r="4" spans="2:12" x14ac:dyDescent="0.25">
      <c r="B4" s="1"/>
      <c r="G4" s="33"/>
    </row>
    <row r="5" spans="2:12" ht="13.8" thickBot="1" x14ac:dyDescent="0.3">
      <c r="B5" s="25" t="s">
        <v>28</v>
      </c>
      <c r="C5" s="51" t="s">
        <v>2</v>
      </c>
      <c r="D5" s="51"/>
      <c r="E5" s="51" t="s">
        <v>3</v>
      </c>
      <c r="F5" s="24"/>
      <c r="G5" s="25" t="s">
        <v>30</v>
      </c>
      <c r="I5" s="51" t="s">
        <v>4</v>
      </c>
      <c r="J5" s="7"/>
      <c r="K5" s="25" t="s">
        <v>5</v>
      </c>
      <c r="L5" s="25" t="s">
        <v>6</v>
      </c>
    </row>
    <row r="6" spans="2:12" x14ac:dyDescent="0.25">
      <c r="B6" s="48">
        <v>119.99999999999996</v>
      </c>
      <c r="C6" s="33">
        <v>1</v>
      </c>
      <c r="D6" s="18" t="str">
        <f>VLOOKUP(C6,$I$6:$J$12,2,0)</f>
        <v>Newark</v>
      </c>
      <c r="E6" s="33">
        <v>2</v>
      </c>
      <c r="F6" s="18" t="str">
        <f>VLOOKUP(E6,$I$6:$J$12,2,0)</f>
        <v>Boston</v>
      </c>
      <c r="G6" s="52">
        <v>30</v>
      </c>
      <c r="I6" s="33">
        <v>1</v>
      </c>
      <c r="J6" s="23" t="s">
        <v>31</v>
      </c>
      <c r="K6" s="42">
        <f t="shared" ref="K6:K12" si="0">SUMIF($E$6:$E$16,I6,$B$6:$B$16)-SUMIF($C$6:$C$16,I6,$B$6:$B$16)</f>
        <v>-199.99999999999997</v>
      </c>
      <c r="L6" s="33">
        <v>-200</v>
      </c>
    </row>
    <row r="7" spans="2:12" x14ac:dyDescent="0.25">
      <c r="B7" s="48">
        <v>80.000000000000014</v>
      </c>
      <c r="C7" s="33">
        <v>1</v>
      </c>
      <c r="D7" s="18" t="str">
        <f t="shared" ref="D7:D16" si="1">VLOOKUP(C7,$I$6:$J$12,2,0)</f>
        <v>Newark</v>
      </c>
      <c r="E7" s="33">
        <v>4</v>
      </c>
      <c r="F7" s="18" t="str">
        <f t="shared" ref="F7:F16" si="2">VLOOKUP(E7,$I$6:$J$12,2,0)</f>
        <v>Richmond</v>
      </c>
      <c r="G7" s="52">
        <v>40</v>
      </c>
      <c r="I7" s="33">
        <v>2</v>
      </c>
      <c r="J7" s="23" t="s">
        <v>32</v>
      </c>
      <c r="K7" s="42">
        <f t="shared" si="0"/>
        <v>99.999999999999972</v>
      </c>
      <c r="L7" s="33">
        <v>100</v>
      </c>
    </row>
    <row r="8" spans="2:12" x14ac:dyDescent="0.25">
      <c r="B8" s="48">
        <v>19.999999999999982</v>
      </c>
      <c r="C8" s="33">
        <v>2</v>
      </c>
      <c r="D8" s="18" t="str">
        <f t="shared" si="1"/>
        <v>Boston</v>
      </c>
      <c r="E8" s="33">
        <v>3</v>
      </c>
      <c r="F8" s="18" t="str">
        <f t="shared" si="2"/>
        <v>Columbus</v>
      </c>
      <c r="G8" s="52">
        <v>50</v>
      </c>
      <c r="I8" s="33">
        <v>3</v>
      </c>
      <c r="J8" s="23" t="s">
        <v>33</v>
      </c>
      <c r="K8" s="42">
        <f t="shared" si="0"/>
        <v>60</v>
      </c>
      <c r="L8" s="33">
        <v>60</v>
      </c>
    </row>
    <row r="9" spans="2:12" x14ac:dyDescent="0.25">
      <c r="B9" s="48">
        <v>0</v>
      </c>
      <c r="C9" s="33">
        <v>3</v>
      </c>
      <c r="D9" s="18" t="str">
        <f t="shared" si="1"/>
        <v>Columbus</v>
      </c>
      <c r="E9" s="33">
        <v>5</v>
      </c>
      <c r="F9" s="18" t="str">
        <f t="shared" si="2"/>
        <v>Atlanta</v>
      </c>
      <c r="G9" s="52">
        <v>35</v>
      </c>
      <c r="I9" s="33">
        <v>4</v>
      </c>
      <c r="J9" s="23" t="s">
        <v>34</v>
      </c>
      <c r="K9" s="42">
        <f t="shared" si="0"/>
        <v>80.000000000000014</v>
      </c>
      <c r="L9" s="33">
        <v>80</v>
      </c>
    </row>
    <row r="10" spans="2:12" x14ac:dyDescent="0.25">
      <c r="B10" s="48">
        <v>40.000000000000021</v>
      </c>
      <c r="C10" s="33">
        <v>5</v>
      </c>
      <c r="D10" s="18" t="str">
        <f t="shared" si="1"/>
        <v>Atlanta</v>
      </c>
      <c r="E10" s="33">
        <v>3</v>
      </c>
      <c r="F10" s="18" t="str">
        <f t="shared" si="2"/>
        <v>Columbus</v>
      </c>
      <c r="G10" s="52">
        <v>40</v>
      </c>
      <c r="I10" s="33">
        <v>5</v>
      </c>
      <c r="J10" s="23" t="s">
        <v>35</v>
      </c>
      <c r="K10" s="42">
        <f t="shared" si="0"/>
        <v>170.00000000000003</v>
      </c>
      <c r="L10" s="33">
        <v>170</v>
      </c>
    </row>
    <row r="11" spans="2:12" x14ac:dyDescent="0.25">
      <c r="B11" s="48">
        <v>0</v>
      </c>
      <c r="C11" s="33">
        <v>5</v>
      </c>
      <c r="D11" s="18" t="str">
        <f t="shared" si="1"/>
        <v>Atlanta</v>
      </c>
      <c r="E11" s="33">
        <v>4</v>
      </c>
      <c r="F11" s="18" t="str">
        <f t="shared" si="2"/>
        <v>Richmond</v>
      </c>
      <c r="G11" s="52">
        <v>30</v>
      </c>
      <c r="I11" s="33">
        <v>6</v>
      </c>
      <c r="J11" s="23" t="s">
        <v>36</v>
      </c>
      <c r="K11" s="42">
        <f t="shared" si="0"/>
        <v>70</v>
      </c>
      <c r="L11" s="33">
        <v>70</v>
      </c>
    </row>
    <row r="12" spans="2:12" ht="13.8" thickBot="1" x14ac:dyDescent="0.3">
      <c r="B12" s="48">
        <v>0</v>
      </c>
      <c r="C12" s="33">
        <v>5</v>
      </c>
      <c r="D12" s="18" t="str">
        <f t="shared" si="1"/>
        <v>Atlanta</v>
      </c>
      <c r="E12" s="33">
        <v>6</v>
      </c>
      <c r="F12" s="18" t="str">
        <f t="shared" si="2"/>
        <v>Mobile</v>
      </c>
      <c r="G12" s="52">
        <v>35</v>
      </c>
      <c r="I12" s="25">
        <v>7</v>
      </c>
      <c r="J12" s="24" t="s">
        <v>37</v>
      </c>
      <c r="K12" s="53">
        <f t="shared" si="0"/>
        <v>-280.00000000000006</v>
      </c>
      <c r="L12" s="25">
        <v>-300</v>
      </c>
    </row>
    <row r="13" spans="2:12" x14ac:dyDescent="0.25">
      <c r="B13" s="48">
        <v>0</v>
      </c>
      <c r="C13" s="33">
        <v>6</v>
      </c>
      <c r="D13" s="18" t="str">
        <f t="shared" si="1"/>
        <v>Mobile</v>
      </c>
      <c r="E13" s="33">
        <v>5</v>
      </c>
      <c r="F13" s="18" t="str">
        <f t="shared" si="2"/>
        <v>Atlanta</v>
      </c>
      <c r="G13" s="52">
        <v>25</v>
      </c>
      <c r="I13" s="54"/>
      <c r="J13" s="55"/>
      <c r="K13" s="9"/>
      <c r="L13" s="54"/>
    </row>
    <row r="14" spans="2:12" x14ac:dyDescent="0.25">
      <c r="B14" s="48">
        <v>0</v>
      </c>
      <c r="C14" s="33">
        <v>7</v>
      </c>
      <c r="D14" s="18" t="str">
        <f t="shared" si="1"/>
        <v>Jacksonville</v>
      </c>
      <c r="E14" s="33">
        <v>4</v>
      </c>
      <c r="F14" s="18" t="str">
        <f t="shared" si="2"/>
        <v>Richmond</v>
      </c>
      <c r="G14" s="52">
        <v>50</v>
      </c>
    </row>
    <row r="15" spans="2:12" x14ac:dyDescent="0.25">
      <c r="B15" s="48">
        <v>210.00000000000006</v>
      </c>
      <c r="C15" s="33">
        <v>7</v>
      </c>
      <c r="D15" s="18" t="str">
        <f t="shared" si="1"/>
        <v>Jacksonville</v>
      </c>
      <c r="E15" s="33">
        <v>5</v>
      </c>
      <c r="F15" s="18" t="str">
        <f t="shared" si="2"/>
        <v>Atlanta</v>
      </c>
      <c r="G15" s="52">
        <v>45</v>
      </c>
    </row>
    <row r="16" spans="2:12" ht="13.8" thickBot="1" x14ac:dyDescent="0.3">
      <c r="B16" s="56">
        <v>70</v>
      </c>
      <c r="C16" s="25">
        <v>7</v>
      </c>
      <c r="D16" s="30" t="str">
        <f t="shared" si="1"/>
        <v>Jacksonville</v>
      </c>
      <c r="E16" s="25">
        <v>6</v>
      </c>
      <c r="F16" s="30" t="str">
        <f t="shared" si="2"/>
        <v>Mobile</v>
      </c>
      <c r="G16" s="57">
        <v>50</v>
      </c>
    </row>
    <row r="17" spans="2:7" ht="13.8" thickBot="1" x14ac:dyDescent="0.3">
      <c r="B17" s="58"/>
      <c r="C17" s="59"/>
      <c r="D17" s="28"/>
      <c r="E17" s="59"/>
      <c r="F17" s="28"/>
      <c r="G17" s="60"/>
    </row>
    <row r="18" spans="2:7" ht="14.4" thickTop="1" thickBot="1" x14ac:dyDescent="0.3">
      <c r="B18" s="1"/>
      <c r="F18" s="49" t="s">
        <v>38</v>
      </c>
      <c r="G18" s="50">
        <f>SUMPRODUCT(B6:B16,G6:G16)</f>
        <v>22350</v>
      </c>
    </row>
    <row r="19" spans="2:7" ht="13.8" thickTop="1" x14ac:dyDescent="0.25">
      <c r="B19" s="1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M27"/>
  <sheetViews>
    <sheetView zoomScale="90" workbookViewId="0">
      <selection activeCell="I27" sqref="I27"/>
    </sheetView>
  </sheetViews>
  <sheetFormatPr defaultRowHeight="13.2" x14ac:dyDescent="0.25"/>
  <cols>
    <col min="1" max="1" width="5.44140625" customWidth="1"/>
    <col min="2" max="2" width="7.44140625" customWidth="1"/>
    <col min="3" max="3" width="5.5546875" style="1" customWidth="1"/>
    <col min="4" max="4" width="7.44140625" customWidth="1"/>
    <col min="5" max="5" width="4.109375" style="1" customWidth="1"/>
    <col min="6" max="6" width="7.44140625" customWidth="1"/>
    <col min="7" max="7" width="9" style="1" customWidth="1"/>
    <col min="8" max="8" width="6" style="1" customWidth="1"/>
    <col min="9" max="9" width="7" customWidth="1"/>
    <col min="10" max="10" width="3.33203125" style="2" customWidth="1"/>
    <col min="11" max="11" width="14.44140625" customWidth="1"/>
    <col min="12" max="12" width="15.5546875" bestFit="1" customWidth="1"/>
    <col min="13" max="13" width="15.44140625" style="1" customWidth="1"/>
  </cols>
  <sheetData>
    <row r="2" spans="2:13" x14ac:dyDescent="0.25">
      <c r="G2" s="22"/>
    </row>
    <row r="5" spans="2:13" x14ac:dyDescent="0.25">
      <c r="B5" s="2" t="s">
        <v>0</v>
      </c>
      <c r="G5" s="2"/>
      <c r="H5"/>
      <c r="I5" s="2"/>
      <c r="J5"/>
      <c r="L5" s="1"/>
      <c r="M5"/>
    </row>
    <row r="6" spans="2:13" ht="13.8" thickBot="1" x14ac:dyDescent="0.3">
      <c r="B6" s="3" t="s">
        <v>1</v>
      </c>
      <c r="C6" s="5" t="s">
        <v>2</v>
      </c>
      <c r="D6" s="5"/>
      <c r="E6" s="5" t="s">
        <v>3</v>
      </c>
      <c r="F6" s="4"/>
      <c r="G6" s="25" t="s">
        <v>15</v>
      </c>
      <c r="H6"/>
      <c r="I6" s="3" t="s">
        <v>4</v>
      </c>
      <c r="J6" s="7"/>
      <c r="K6" s="3" t="s">
        <v>5</v>
      </c>
      <c r="L6" s="3" t="s">
        <v>6</v>
      </c>
      <c r="M6"/>
    </row>
    <row r="7" spans="2:13" x14ac:dyDescent="0.25">
      <c r="B7" s="19">
        <v>1</v>
      </c>
      <c r="C7" s="2">
        <v>1</v>
      </c>
      <c r="D7" s="18" t="str">
        <f>VLOOKUP(C7,$I$7:$J$13,2,0)</f>
        <v>A</v>
      </c>
      <c r="E7" s="2">
        <v>2</v>
      </c>
      <c r="F7" s="18" t="str">
        <f>VLOOKUP(E7,$I$7:$J$13,2,0)</f>
        <v>B</v>
      </c>
      <c r="G7" s="17">
        <v>4</v>
      </c>
      <c r="H7"/>
      <c r="I7" s="2">
        <v>1</v>
      </c>
      <c r="J7" s="23" t="s">
        <v>8</v>
      </c>
      <c r="K7" s="20">
        <f t="shared" ref="K7:K13" si="0">SUMIF($E$7:$E$18,I7,$B$7:$B$18)-SUMIF($C$7:$C$18,I7,$B$7:$B$18)</f>
        <v>-1</v>
      </c>
      <c r="L7" s="2">
        <v>-1</v>
      </c>
      <c r="M7"/>
    </row>
    <row r="8" spans="2:13" x14ac:dyDescent="0.25">
      <c r="B8" s="19">
        <v>0</v>
      </c>
      <c r="C8" s="2">
        <v>1</v>
      </c>
      <c r="D8" s="18" t="str">
        <f t="shared" ref="D8:D18" si="1">VLOOKUP(C8,$I$7:$J$13,2,0)</f>
        <v>A</v>
      </c>
      <c r="E8" s="2">
        <v>3</v>
      </c>
      <c r="F8" s="18" t="str">
        <f t="shared" ref="F8:F18" si="2">VLOOKUP(E8,$I$7:$J$13,2,0)</f>
        <v>C</v>
      </c>
      <c r="G8" s="17">
        <v>3</v>
      </c>
      <c r="H8"/>
      <c r="I8" s="2">
        <v>2</v>
      </c>
      <c r="J8" s="23" t="s">
        <v>9</v>
      </c>
      <c r="K8" s="20">
        <f t="shared" si="0"/>
        <v>0</v>
      </c>
      <c r="L8" s="2">
        <v>0</v>
      </c>
      <c r="M8"/>
    </row>
    <row r="9" spans="2:13" x14ac:dyDescent="0.25">
      <c r="B9" s="19">
        <v>0</v>
      </c>
      <c r="C9" s="2">
        <v>1</v>
      </c>
      <c r="D9" s="18" t="str">
        <f t="shared" si="1"/>
        <v>A</v>
      </c>
      <c r="E9" s="2">
        <v>4</v>
      </c>
      <c r="F9" s="18" t="str">
        <f t="shared" si="2"/>
        <v>D</v>
      </c>
      <c r="G9" s="17">
        <v>6</v>
      </c>
      <c r="H9"/>
      <c r="I9" s="2">
        <v>3</v>
      </c>
      <c r="J9" s="23" t="s">
        <v>10</v>
      </c>
      <c r="K9" s="20">
        <f t="shared" si="0"/>
        <v>0</v>
      </c>
      <c r="L9" s="2">
        <v>0</v>
      </c>
      <c r="M9"/>
    </row>
    <row r="10" spans="2:13" x14ac:dyDescent="0.25">
      <c r="B10" s="19">
        <v>1</v>
      </c>
      <c r="C10" s="2">
        <v>2</v>
      </c>
      <c r="D10" s="18" t="str">
        <f t="shared" si="1"/>
        <v>B</v>
      </c>
      <c r="E10" s="2">
        <v>4</v>
      </c>
      <c r="F10" s="18" t="str">
        <f t="shared" si="2"/>
        <v>D</v>
      </c>
      <c r="G10" s="17">
        <v>1</v>
      </c>
      <c r="H10"/>
      <c r="I10" s="2">
        <v>4</v>
      </c>
      <c r="J10" s="23" t="s">
        <v>11</v>
      </c>
      <c r="K10" s="20">
        <f t="shared" si="0"/>
        <v>6.6613381477509392E-12</v>
      </c>
      <c r="L10" s="2">
        <v>0</v>
      </c>
      <c r="M10"/>
    </row>
    <row r="11" spans="2:13" x14ac:dyDescent="0.25">
      <c r="B11" s="19">
        <v>0</v>
      </c>
      <c r="C11" s="2">
        <v>2</v>
      </c>
      <c r="D11" s="18" t="str">
        <f t="shared" si="1"/>
        <v>B</v>
      </c>
      <c r="E11" s="2">
        <v>5</v>
      </c>
      <c r="F11" s="18" t="str">
        <f t="shared" si="2"/>
        <v>E</v>
      </c>
      <c r="G11" s="17">
        <v>4</v>
      </c>
      <c r="H11"/>
      <c r="I11" s="2">
        <v>5</v>
      </c>
      <c r="J11" s="23" t="s">
        <v>12</v>
      </c>
      <c r="K11" s="20">
        <f t="shared" si="0"/>
        <v>0</v>
      </c>
      <c r="L11" s="2">
        <v>0</v>
      </c>
      <c r="M11"/>
    </row>
    <row r="12" spans="2:13" x14ac:dyDescent="0.25">
      <c r="B12" s="19">
        <v>0</v>
      </c>
      <c r="C12" s="2">
        <v>3</v>
      </c>
      <c r="D12" s="18" t="str">
        <f t="shared" si="1"/>
        <v>C</v>
      </c>
      <c r="E12" s="2">
        <v>4</v>
      </c>
      <c r="F12" s="18" t="str">
        <f t="shared" si="2"/>
        <v>D</v>
      </c>
      <c r="G12" s="17">
        <v>3</v>
      </c>
      <c r="H12"/>
      <c r="I12" s="2">
        <v>6</v>
      </c>
      <c r="J12" s="23" t="s">
        <v>13</v>
      </c>
      <c r="K12" s="20">
        <f t="shared" si="0"/>
        <v>0</v>
      </c>
      <c r="L12" s="2">
        <v>0</v>
      </c>
      <c r="M12"/>
    </row>
    <row r="13" spans="2:13" ht="13.8" thickBot="1" x14ac:dyDescent="0.3">
      <c r="B13" s="19">
        <v>0</v>
      </c>
      <c r="C13" s="2">
        <v>3</v>
      </c>
      <c r="D13" s="18" t="str">
        <f t="shared" si="1"/>
        <v>C</v>
      </c>
      <c r="E13" s="2">
        <v>6</v>
      </c>
      <c r="F13" s="18" t="str">
        <f t="shared" si="2"/>
        <v>F</v>
      </c>
      <c r="G13" s="17">
        <v>6</v>
      </c>
      <c r="H13"/>
      <c r="I13" s="3">
        <v>7</v>
      </c>
      <c r="J13" s="24" t="s">
        <v>14</v>
      </c>
      <c r="K13" s="20">
        <f t="shared" si="0"/>
        <v>0.99999999999333866</v>
      </c>
      <c r="L13" s="3">
        <v>1</v>
      </c>
      <c r="M13"/>
    </row>
    <row r="14" spans="2:13" x14ac:dyDescent="0.25">
      <c r="B14" s="19">
        <v>0.99999999999333866</v>
      </c>
      <c r="C14" s="2">
        <v>4</v>
      </c>
      <c r="D14" s="18" t="str">
        <f t="shared" si="1"/>
        <v>D</v>
      </c>
      <c r="E14" s="2">
        <v>5</v>
      </c>
      <c r="F14" s="18" t="str">
        <f t="shared" si="2"/>
        <v>E</v>
      </c>
      <c r="G14" s="17">
        <v>2</v>
      </c>
      <c r="H14"/>
      <c r="I14" s="14"/>
      <c r="J14" s="15"/>
      <c r="K14" s="16"/>
      <c r="L14" s="14"/>
      <c r="M14"/>
    </row>
    <row r="15" spans="2:13" x14ac:dyDescent="0.25">
      <c r="B15" s="19">
        <v>0</v>
      </c>
      <c r="C15" s="2">
        <v>4</v>
      </c>
      <c r="D15" s="18" t="str">
        <f t="shared" si="1"/>
        <v>D</v>
      </c>
      <c r="E15" s="2">
        <v>7</v>
      </c>
      <c r="F15" s="18" t="str">
        <f t="shared" si="2"/>
        <v>G</v>
      </c>
      <c r="G15" s="17">
        <v>5</v>
      </c>
      <c r="H15"/>
      <c r="J15">
        <f>SUMIF($E$7:$E$18,I8,$B$7:$B$18)-SUMIF($C$7:$C$18,I8,$B$7:$B$18)</f>
        <v>0</v>
      </c>
      <c r="M15"/>
    </row>
    <row r="16" spans="2:13" x14ac:dyDescent="0.25">
      <c r="B16" s="19">
        <v>0</v>
      </c>
      <c r="C16" s="10">
        <v>4</v>
      </c>
      <c r="D16" s="18" t="str">
        <f t="shared" si="1"/>
        <v>D</v>
      </c>
      <c r="E16" s="10">
        <v>6</v>
      </c>
      <c r="F16" s="18" t="str">
        <f t="shared" si="2"/>
        <v>F</v>
      </c>
      <c r="G16" s="17">
        <v>4</v>
      </c>
      <c r="H16"/>
      <c r="I16" s="8"/>
      <c r="J16" s="11"/>
      <c r="K16" s="9"/>
      <c r="L16" s="8"/>
      <c r="M16"/>
    </row>
    <row r="17" spans="2:13" x14ac:dyDescent="0.25">
      <c r="B17" s="19">
        <v>0.99999999999333866</v>
      </c>
      <c r="C17" s="10">
        <v>5</v>
      </c>
      <c r="D17" s="18" t="str">
        <f t="shared" si="1"/>
        <v>E</v>
      </c>
      <c r="E17" s="10">
        <v>7</v>
      </c>
      <c r="F17" s="18" t="str">
        <f t="shared" si="2"/>
        <v>G</v>
      </c>
      <c r="G17" s="17">
        <v>2</v>
      </c>
      <c r="H17"/>
      <c r="I17" s="8"/>
      <c r="J17" s="11"/>
      <c r="K17" s="9"/>
      <c r="L17" s="8"/>
      <c r="M17"/>
    </row>
    <row r="18" spans="2:13" ht="13.8" thickBot="1" x14ac:dyDescent="0.3">
      <c r="B18" s="29">
        <v>0</v>
      </c>
      <c r="C18" s="83">
        <v>6</v>
      </c>
      <c r="D18" s="30" t="str">
        <f t="shared" si="1"/>
        <v>F</v>
      </c>
      <c r="E18" s="3">
        <v>7</v>
      </c>
      <c r="F18" s="30" t="str">
        <f t="shared" si="2"/>
        <v>G</v>
      </c>
      <c r="G18" s="31">
        <v>2</v>
      </c>
      <c r="H18"/>
      <c r="I18" s="8"/>
      <c r="J18" s="12"/>
      <c r="K18" s="12"/>
      <c r="L18" s="13"/>
      <c r="M18"/>
    </row>
    <row r="19" spans="2:13" ht="13.8" thickBot="1" x14ac:dyDescent="0.3">
      <c r="B19" s="28"/>
      <c r="C19"/>
      <c r="E19"/>
      <c r="G19"/>
      <c r="H19"/>
      <c r="I19" s="12"/>
      <c r="J19" s="12"/>
      <c r="K19" s="12"/>
      <c r="L19" s="12"/>
      <c r="M19"/>
    </row>
    <row r="20" spans="2:13" ht="14.4" thickTop="1" thickBot="1" x14ac:dyDescent="0.3">
      <c r="F20" s="6" t="s">
        <v>7</v>
      </c>
      <c r="G20" s="21">
        <f>SUMPRODUCT(G7:G18,$B$7:$B$18)</f>
        <v>8.9999999999733546</v>
      </c>
      <c r="H20"/>
      <c r="I20" s="2"/>
      <c r="J20"/>
      <c r="L20" s="1"/>
      <c r="M20"/>
    </row>
    <row r="21" spans="2:13" ht="13.8" thickTop="1" x14ac:dyDescent="0.25">
      <c r="G21"/>
      <c r="H21"/>
      <c r="I21" s="2"/>
      <c r="J21"/>
      <c r="L21" s="1"/>
      <c r="M21"/>
    </row>
    <row r="22" spans="2:13" x14ac:dyDescent="0.25">
      <c r="H22"/>
      <c r="I22" s="2"/>
      <c r="J22"/>
      <c r="L22" s="1"/>
      <c r="M22"/>
    </row>
    <row r="23" spans="2:13" x14ac:dyDescent="0.25">
      <c r="H23"/>
      <c r="I23" s="2"/>
      <c r="J23"/>
      <c r="L23" s="1"/>
      <c r="M23"/>
    </row>
    <row r="24" spans="2:13" x14ac:dyDescent="0.25">
      <c r="H24"/>
      <c r="I24" s="2"/>
      <c r="J24"/>
      <c r="L24" s="1"/>
      <c r="M24"/>
    </row>
    <row r="25" spans="2:13" x14ac:dyDescent="0.25">
      <c r="H25"/>
      <c r="I25" s="2"/>
      <c r="J25"/>
      <c r="L25" s="1"/>
      <c r="M25"/>
    </row>
    <row r="26" spans="2:13" x14ac:dyDescent="0.25">
      <c r="H26"/>
      <c r="I26" s="2"/>
      <c r="J26"/>
      <c r="L26" s="1"/>
      <c r="M26"/>
    </row>
    <row r="27" spans="2:13" x14ac:dyDescent="0.25">
      <c r="H27"/>
    </row>
  </sheetData>
  <phoneticPr fontId="12" type="noConversion"/>
  <pageMargins left="0.75" right="0.75" top="1" bottom="1" header="0.5" footer="0.5"/>
  <pageSetup scale="79"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4:M23"/>
  <sheetViews>
    <sheetView workbookViewId="0">
      <selection activeCell="C9" sqref="C9"/>
    </sheetView>
  </sheetViews>
  <sheetFormatPr defaultRowHeight="13.2" x14ac:dyDescent="0.25"/>
  <cols>
    <col min="1" max="1" width="8.88671875" style="1" customWidth="1"/>
    <col min="2" max="2" width="2.109375" style="1" customWidth="1"/>
    <col min="3" max="3" width="11.44140625" style="61" customWidth="1"/>
    <col min="4" max="4" width="12.44140625" style="1" customWidth="1"/>
    <col min="5" max="5" width="8.33203125" style="1" customWidth="1"/>
    <col min="6" max="6" width="2.6640625" style="1" customWidth="1"/>
    <col min="7" max="7" width="12.109375" style="1" customWidth="1"/>
    <col min="9" max="9" width="5.6640625" customWidth="1"/>
    <col min="10" max="10" width="2" customWidth="1"/>
    <col min="11" max="11" width="12.5546875" customWidth="1"/>
    <col min="12" max="12" width="12" style="1" customWidth="1"/>
    <col min="13" max="13" width="15.44140625" style="1" customWidth="1"/>
  </cols>
  <sheetData>
    <row r="4" spans="1:13" x14ac:dyDescent="0.25">
      <c r="D4" s="33"/>
    </row>
    <row r="5" spans="1:13" ht="13.8" thickBot="1" x14ac:dyDescent="0.3">
      <c r="A5" s="62" t="s">
        <v>39</v>
      </c>
      <c r="B5" s="62"/>
      <c r="C5" s="62"/>
      <c r="D5" s="25" t="s">
        <v>40</v>
      </c>
      <c r="E5" s="63" t="s">
        <v>41</v>
      </c>
      <c r="F5" s="63"/>
      <c r="G5" s="63"/>
      <c r="H5" s="25" t="s">
        <v>29</v>
      </c>
      <c r="J5" s="63" t="s">
        <v>42</v>
      </c>
      <c r="K5" s="63"/>
      <c r="L5" s="25" t="s">
        <v>5</v>
      </c>
      <c r="M5" s="25" t="s">
        <v>6</v>
      </c>
    </row>
    <row r="6" spans="1:13" x14ac:dyDescent="0.25">
      <c r="A6" s="19">
        <v>43.447044383240488</v>
      </c>
      <c r="B6" s="54">
        <v>1</v>
      </c>
      <c r="C6" s="64" t="str">
        <f>VLOOKUP(B6,$J$6:$K$14,2,0)</f>
        <v>Newspaper</v>
      </c>
      <c r="D6" s="65">
        <v>0.9</v>
      </c>
      <c r="E6" s="66">
        <f>D6*A6</f>
        <v>39.102339944916437</v>
      </c>
      <c r="F6" s="33">
        <v>5</v>
      </c>
      <c r="G6" s="67" t="str">
        <f>VLOOKUP(F6,$J$6:$K$14,2,0)</f>
        <v>Process 1</v>
      </c>
      <c r="H6" s="52">
        <v>13</v>
      </c>
      <c r="J6" s="68">
        <v>1</v>
      </c>
      <c r="K6" s="68" t="s">
        <v>43</v>
      </c>
      <c r="L6" s="69">
        <f>SUMIF($F$6:$F$19,J6,$E$6:$E$19)-SUMIF($B$6:$B$19,J6,$A$6:$A$19)</f>
        <v>-70</v>
      </c>
      <c r="M6" s="33">
        <v>-70</v>
      </c>
    </row>
    <row r="7" spans="1:13" x14ac:dyDescent="0.25">
      <c r="A7" s="19">
        <v>26.552955616759512</v>
      </c>
      <c r="B7" s="54">
        <v>1</v>
      </c>
      <c r="C7" s="64" t="str">
        <f t="shared" ref="C7:C19" si="0">VLOOKUP(B7,$J$6:$K$14,2,0)</f>
        <v>Newspaper</v>
      </c>
      <c r="D7" s="65">
        <v>0.85</v>
      </c>
      <c r="E7" s="66">
        <f t="shared" ref="E7:E19" si="1">D7*A7</f>
        <v>22.570012274245585</v>
      </c>
      <c r="F7" s="33">
        <v>6</v>
      </c>
      <c r="G7" s="67" t="str">
        <f t="shared" ref="G7:G19" si="2">VLOOKUP(F7,$J$6:$K$14,2,0)</f>
        <v>Process 2</v>
      </c>
      <c r="H7" s="52">
        <v>12</v>
      </c>
      <c r="J7" s="68">
        <v>2</v>
      </c>
      <c r="K7" s="68" t="s">
        <v>44</v>
      </c>
      <c r="L7" s="69">
        <f t="shared" ref="L7:L14" si="3">SUMIF($F$6:$F$19,J7,$E$6:$E$19)-SUMIF($B$6:$B$19,J7,$A$6:$A$19)</f>
        <v>-50.000000973430737</v>
      </c>
      <c r="M7" s="33">
        <v>-50</v>
      </c>
    </row>
    <row r="8" spans="1:13" x14ac:dyDescent="0.25">
      <c r="A8" s="19">
        <v>50.000000973430737</v>
      </c>
      <c r="B8" s="54">
        <v>2</v>
      </c>
      <c r="C8" s="64" t="str">
        <f t="shared" si="0"/>
        <v>Mixed Paper</v>
      </c>
      <c r="D8" s="65">
        <v>0.8</v>
      </c>
      <c r="E8" s="66">
        <f t="shared" si="1"/>
        <v>40.000000778744592</v>
      </c>
      <c r="F8" s="33">
        <v>5</v>
      </c>
      <c r="G8" s="67" t="str">
        <f t="shared" si="2"/>
        <v>Process 1</v>
      </c>
      <c r="H8" s="52">
        <v>11</v>
      </c>
      <c r="J8" s="68">
        <v>3</v>
      </c>
      <c r="K8" s="68" t="s">
        <v>45</v>
      </c>
      <c r="L8" s="69">
        <f t="shared" si="3"/>
        <v>-30.000000000000011</v>
      </c>
      <c r="M8" s="33">
        <v>-30</v>
      </c>
    </row>
    <row r="9" spans="1:13" x14ac:dyDescent="0.25">
      <c r="A9" s="19">
        <v>0</v>
      </c>
      <c r="B9" s="54">
        <v>2</v>
      </c>
      <c r="C9" s="64" t="str">
        <f t="shared" si="0"/>
        <v>Mixed Paper</v>
      </c>
      <c r="D9" s="65">
        <v>0.85</v>
      </c>
      <c r="E9" s="66">
        <f t="shared" si="1"/>
        <v>0</v>
      </c>
      <c r="F9" s="33">
        <v>6</v>
      </c>
      <c r="G9" s="67" t="str">
        <f t="shared" si="2"/>
        <v>Process 2</v>
      </c>
      <c r="H9" s="52">
        <v>13</v>
      </c>
      <c r="J9" s="68">
        <v>4</v>
      </c>
      <c r="K9" s="68" t="s">
        <v>46</v>
      </c>
      <c r="L9" s="69">
        <f t="shared" si="3"/>
        <v>-35.366547036808818</v>
      </c>
      <c r="M9" s="33">
        <v>-40</v>
      </c>
    </row>
    <row r="10" spans="1:13" x14ac:dyDescent="0.25">
      <c r="A10" s="19">
        <v>30.000000000000011</v>
      </c>
      <c r="B10" s="54">
        <v>3</v>
      </c>
      <c r="C10" s="64" t="str">
        <f t="shared" si="0"/>
        <v>White Office</v>
      </c>
      <c r="D10" s="65">
        <v>0.95</v>
      </c>
      <c r="E10" s="66">
        <f t="shared" si="1"/>
        <v>28.500000000000007</v>
      </c>
      <c r="F10" s="33">
        <v>5</v>
      </c>
      <c r="G10" s="67" t="str">
        <f t="shared" si="2"/>
        <v>Process 1</v>
      </c>
      <c r="H10" s="52">
        <v>9</v>
      </c>
      <c r="J10" s="68">
        <v>5</v>
      </c>
      <c r="K10" s="68" t="s">
        <v>47</v>
      </c>
      <c r="L10" s="69">
        <f t="shared" si="3"/>
        <v>1.2675752714130795E-7</v>
      </c>
      <c r="M10" s="33">
        <v>0</v>
      </c>
    </row>
    <row r="11" spans="1:13" x14ac:dyDescent="0.25">
      <c r="A11" s="19">
        <v>0</v>
      </c>
      <c r="B11" s="54">
        <v>3</v>
      </c>
      <c r="C11" s="64" t="str">
        <f t="shared" si="0"/>
        <v>White Office</v>
      </c>
      <c r="D11" s="65">
        <v>0.9</v>
      </c>
      <c r="E11" s="66">
        <f t="shared" si="1"/>
        <v>0</v>
      </c>
      <c r="F11" s="33">
        <v>6</v>
      </c>
      <c r="G11" s="67" t="str">
        <f t="shared" si="2"/>
        <v>Process 2</v>
      </c>
      <c r="H11" s="52">
        <v>10</v>
      </c>
      <c r="J11" s="68">
        <v>6</v>
      </c>
      <c r="K11" s="68" t="s">
        <v>48</v>
      </c>
      <c r="L11" s="69">
        <f t="shared" si="3"/>
        <v>-2.6604907787941556E-7</v>
      </c>
      <c r="M11" s="33">
        <v>0</v>
      </c>
    </row>
    <row r="12" spans="1:13" x14ac:dyDescent="0.25">
      <c r="A12" s="19">
        <v>0</v>
      </c>
      <c r="B12" s="54">
        <v>4</v>
      </c>
      <c r="C12" s="64" t="str">
        <f t="shared" si="0"/>
        <v>Cardboard</v>
      </c>
      <c r="D12" s="65">
        <v>0.75</v>
      </c>
      <c r="E12" s="66">
        <f t="shared" si="1"/>
        <v>0</v>
      </c>
      <c r="F12" s="33">
        <v>5</v>
      </c>
      <c r="G12" s="67" t="str">
        <f t="shared" si="2"/>
        <v>Process 1</v>
      </c>
      <c r="H12" s="52">
        <v>13</v>
      </c>
      <c r="J12" s="68">
        <v>7</v>
      </c>
      <c r="K12" s="68" t="s">
        <v>49</v>
      </c>
      <c r="L12" s="69">
        <f t="shared" si="3"/>
        <v>59.999999865157449</v>
      </c>
      <c r="M12" s="33">
        <v>60</v>
      </c>
    </row>
    <row r="13" spans="1:13" x14ac:dyDescent="0.25">
      <c r="A13" s="19">
        <v>35.366547036808818</v>
      </c>
      <c r="B13" s="54">
        <v>4</v>
      </c>
      <c r="C13" s="64" t="str">
        <f t="shared" si="0"/>
        <v>Cardboard</v>
      </c>
      <c r="D13" s="65">
        <v>0.85</v>
      </c>
      <c r="E13" s="66">
        <f t="shared" si="1"/>
        <v>30.061564981287493</v>
      </c>
      <c r="F13" s="33">
        <v>6</v>
      </c>
      <c r="G13" s="67" t="str">
        <f t="shared" si="2"/>
        <v>Process 2</v>
      </c>
      <c r="H13" s="52">
        <v>14</v>
      </c>
      <c r="J13" s="68">
        <v>8</v>
      </c>
      <c r="K13" s="68" t="s">
        <v>50</v>
      </c>
      <c r="L13" s="69">
        <f t="shared" si="3"/>
        <v>40.000000549169251</v>
      </c>
      <c r="M13" s="33">
        <v>40</v>
      </c>
    </row>
    <row r="14" spans="1:13" ht="13.8" thickBot="1" x14ac:dyDescent="0.3">
      <c r="A14" s="19">
        <v>63.157895542271007</v>
      </c>
      <c r="B14" s="54">
        <v>5</v>
      </c>
      <c r="C14" s="64" t="str">
        <f t="shared" si="0"/>
        <v>Process 1</v>
      </c>
      <c r="D14" s="65">
        <v>0.95</v>
      </c>
      <c r="E14" s="66">
        <f t="shared" si="1"/>
        <v>60.000000765157452</v>
      </c>
      <c r="F14" s="33">
        <v>7</v>
      </c>
      <c r="G14" s="67" t="str">
        <f t="shared" si="2"/>
        <v>Newsprint</v>
      </c>
      <c r="H14" s="52">
        <v>5</v>
      </c>
      <c r="J14" s="70">
        <v>9</v>
      </c>
      <c r="K14" s="70" t="s">
        <v>51</v>
      </c>
      <c r="L14" s="71">
        <f t="shared" si="3"/>
        <v>49.999999595503041</v>
      </c>
      <c r="M14" s="25">
        <v>50</v>
      </c>
    </row>
    <row r="15" spans="1:13" x14ac:dyDescent="0.25">
      <c r="A15" s="19">
        <v>44.444445054632496</v>
      </c>
      <c r="B15" s="54">
        <v>5</v>
      </c>
      <c r="C15" s="64" t="str">
        <f t="shared" si="0"/>
        <v>Process 1</v>
      </c>
      <c r="D15" s="65">
        <v>0.9</v>
      </c>
      <c r="E15" s="66">
        <f t="shared" si="1"/>
        <v>40.000000549169251</v>
      </c>
      <c r="F15" s="33">
        <v>8</v>
      </c>
      <c r="G15" s="67" t="str">
        <f t="shared" si="2"/>
        <v>Packaging</v>
      </c>
      <c r="H15" s="52">
        <v>6</v>
      </c>
      <c r="L15" s="72"/>
    </row>
    <row r="16" spans="1:13" x14ac:dyDescent="0.25">
      <c r="A16" s="19">
        <v>0</v>
      </c>
      <c r="B16" s="54">
        <v>5</v>
      </c>
      <c r="C16" s="64" t="str">
        <f t="shared" si="0"/>
        <v>Process 1</v>
      </c>
      <c r="D16" s="65">
        <v>0.9</v>
      </c>
      <c r="E16" s="66">
        <f t="shared" si="1"/>
        <v>0</v>
      </c>
      <c r="F16" s="33">
        <v>9</v>
      </c>
      <c r="G16" s="67" t="str">
        <f t="shared" si="2"/>
        <v>Print Stock</v>
      </c>
      <c r="H16" s="52">
        <v>8</v>
      </c>
    </row>
    <row r="17" spans="1:11" x14ac:dyDescent="0.25">
      <c r="A17" s="19">
        <v>-9.9999999991773336E-7</v>
      </c>
      <c r="B17" s="54">
        <v>6</v>
      </c>
      <c r="C17" s="64" t="str">
        <f t="shared" si="0"/>
        <v>Process 2</v>
      </c>
      <c r="D17" s="65">
        <v>0.9</v>
      </c>
      <c r="E17" s="66">
        <f t="shared" si="1"/>
        <v>-8.9999999992596007E-7</v>
      </c>
      <c r="F17" s="33">
        <v>7</v>
      </c>
      <c r="G17" s="67" t="str">
        <f t="shared" si="2"/>
        <v>Newsprint</v>
      </c>
      <c r="H17" s="52">
        <v>6</v>
      </c>
    </row>
    <row r="18" spans="1:11" x14ac:dyDescent="0.25">
      <c r="A18" s="19">
        <v>0</v>
      </c>
      <c r="B18" s="54">
        <v>6</v>
      </c>
      <c r="C18" s="64" t="str">
        <f t="shared" si="0"/>
        <v>Process 2</v>
      </c>
      <c r="D18" s="65">
        <v>0.95</v>
      </c>
      <c r="E18" s="66">
        <f t="shared" si="1"/>
        <v>0</v>
      </c>
      <c r="F18" s="33">
        <v>8</v>
      </c>
      <c r="G18" s="67" t="str">
        <f t="shared" si="2"/>
        <v>Packaging</v>
      </c>
      <c r="H18" s="52">
        <v>8</v>
      </c>
    </row>
    <row r="19" spans="1:11" ht="13.8" thickBot="1" x14ac:dyDescent="0.3">
      <c r="A19" s="73">
        <v>52.631578521582149</v>
      </c>
      <c r="B19" s="74">
        <v>6</v>
      </c>
      <c r="C19" s="75" t="str">
        <f t="shared" si="0"/>
        <v>Process 2</v>
      </c>
      <c r="D19" s="76">
        <v>0.95</v>
      </c>
      <c r="E19" s="77">
        <f t="shared" si="1"/>
        <v>49.999999595503041</v>
      </c>
      <c r="F19" s="25">
        <v>9</v>
      </c>
      <c r="G19" s="78" t="str">
        <f t="shared" si="2"/>
        <v>Print Stock</v>
      </c>
      <c r="H19" s="57">
        <v>7</v>
      </c>
      <c r="K19" s="79"/>
    </row>
    <row r="20" spans="1:11" ht="13.8" thickBot="1" x14ac:dyDescent="0.3">
      <c r="A20" s="80"/>
      <c r="H20" s="81"/>
    </row>
    <row r="21" spans="1:11" ht="14.4" thickTop="1" thickBot="1" x14ac:dyDescent="0.3">
      <c r="A21" s="82"/>
      <c r="G21" s="49" t="s">
        <v>52</v>
      </c>
      <c r="H21" s="50">
        <f>SUMPRODUCT(H6:H19,A6:A19)</f>
        <v>3149.4559052965274</v>
      </c>
    </row>
    <row r="22" spans="1:11" ht="13.8" thickTop="1" x14ac:dyDescent="0.25"/>
    <row r="23" spans="1:11" x14ac:dyDescent="0.25">
      <c r="K23" s="79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M18"/>
  <sheetViews>
    <sheetView workbookViewId="0">
      <selection activeCell="F14" sqref="F14"/>
    </sheetView>
  </sheetViews>
  <sheetFormatPr defaultColWidth="5.6640625" defaultRowHeight="13.2" x14ac:dyDescent="0.25"/>
  <cols>
    <col min="1" max="1" width="5.6640625" style="18"/>
    <col min="2" max="2" width="9" style="32" customWidth="1"/>
    <col min="3" max="3" width="3.6640625" style="32" customWidth="1"/>
    <col min="4" max="4" width="8" style="32" customWidth="1"/>
    <col min="5" max="5" width="3.33203125" style="32" customWidth="1"/>
    <col min="6" max="6" width="8" style="32" customWidth="1"/>
    <col min="7" max="7" width="7.109375" style="32" bestFit="1" customWidth="1"/>
    <col min="8" max="8" width="6.33203125" style="18" customWidth="1"/>
    <col min="9" max="9" width="5.6640625" style="32"/>
    <col min="10" max="10" width="12.6640625" style="32" customWidth="1"/>
    <col min="11" max="11" width="9.44140625" style="32" bestFit="1" customWidth="1"/>
    <col min="12" max="12" width="16.33203125" style="18" bestFit="1" customWidth="1"/>
    <col min="13" max="16384" width="5.6640625" style="18"/>
  </cols>
  <sheetData>
    <row r="1" spans="2:13" x14ac:dyDescent="0.25">
      <c r="C1" s="33"/>
      <c r="D1" s="33"/>
      <c r="E1" s="33"/>
      <c r="F1" s="33"/>
      <c r="G1" s="33"/>
      <c r="H1" s="34"/>
    </row>
    <row r="2" spans="2:13" x14ac:dyDescent="0.25">
      <c r="C2" s="33"/>
      <c r="D2" s="33"/>
      <c r="E2" s="33"/>
      <c r="F2" s="33"/>
      <c r="G2" s="35"/>
      <c r="H2" s="34"/>
    </row>
    <row r="4" spans="2:13" x14ac:dyDescent="0.25">
      <c r="B4" s="36" t="s">
        <v>16</v>
      </c>
      <c r="C4" s="37" t="s">
        <v>17</v>
      </c>
      <c r="D4" s="37"/>
      <c r="E4" s="34"/>
      <c r="F4" s="34"/>
      <c r="G4" s="36" t="s">
        <v>18</v>
      </c>
    </row>
    <row r="5" spans="2:13" ht="13.8" thickBot="1" x14ac:dyDescent="0.3">
      <c r="B5" s="38" t="s">
        <v>19</v>
      </c>
      <c r="C5" s="39" t="s">
        <v>2</v>
      </c>
      <c r="D5" s="38"/>
      <c r="E5" s="39" t="s">
        <v>3</v>
      </c>
      <c r="F5" s="38"/>
      <c r="G5" s="38" t="s">
        <v>20</v>
      </c>
      <c r="I5" s="5" t="s">
        <v>4</v>
      </c>
      <c r="J5" s="3"/>
      <c r="K5" s="3" t="s">
        <v>5</v>
      </c>
      <c r="L5" s="4" t="s">
        <v>6</v>
      </c>
    </row>
    <row r="6" spans="2:13" x14ac:dyDescent="0.25">
      <c r="B6" s="26">
        <v>5</v>
      </c>
      <c r="C6" s="40">
        <v>1</v>
      </c>
      <c r="D6" s="41" t="str">
        <f>VLOOKUP(C6,$I$6:$J$11,2,0)</f>
        <v>Oil Field</v>
      </c>
      <c r="E6" s="40">
        <v>2</v>
      </c>
      <c r="F6" s="41" t="str">
        <f>VLOOKUP(E6,$I$6:$J$11,2,0)</f>
        <v>Station 1</v>
      </c>
      <c r="G6" s="40">
        <v>6</v>
      </c>
      <c r="I6" s="2">
        <v>1</v>
      </c>
      <c r="J6" s="2" t="s">
        <v>22</v>
      </c>
      <c r="K6" s="42">
        <f t="shared" ref="K6:K11" si="0">SUMIF($E$6:$E$14,I6,$B$6:$B$14)-SUMIF($C$6:$C$14,I6,$B$6:$B$14)</f>
        <v>0</v>
      </c>
      <c r="L6" s="2">
        <v>0</v>
      </c>
    </row>
    <row r="7" spans="2:13" x14ac:dyDescent="0.25">
      <c r="B7" s="26">
        <v>4</v>
      </c>
      <c r="C7" s="40">
        <v>1</v>
      </c>
      <c r="D7" s="41" t="str">
        <f t="shared" ref="D7:D14" si="1">VLOOKUP(C7,$I$6:$J$11,2,0)</f>
        <v>Oil Field</v>
      </c>
      <c r="E7" s="40">
        <v>3</v>
      </c>
      <c r="F7" s="41" t="str">
        <f t="shared" ref="F7:F14" si="2">VLOOKUP(E7,$I$6:$J$11,2,0)</f>
        <v>Station 2</v>
      </c>
      <c r="G7" s="40">
        <v>4</v>
      </c>
      <c r="I7" s="2">
        <v>2</v>
      </c>
      <c r="J7" s="2" t="s">
        <v>23</v>
      </c>
      <c r="K7" s="42">
        <f t="shared" si="0"/>
        <v>0</v>
      </c>
      <c r="L7" s="2">
        <v>0</v>
      </c>
    </row>
    <row r="8" spans="2:13" x14ac:dyDescent="0.25">
      <c r="B8" s="26">
        <v>3</v>
      </c>
      <c r="C8" s="40">
        <v>2</v>
      </c>
      <c r="D8" s="41" t="str">
        <f t="shared" si="1"/>
        <v>Station 1</v>
      </c>
      <c r="E8" s="40">
        <v>4</v>
      </c>
      <c r="F8" s="41" t="str">
        <f t="shared" si="2"/>
        <v>Station 3</v>
      </c>
      <c r="G8" s="40">
        <v>3</v>
      </c>
      <c r="I8" s="2">
        <v>3</v>
      </c>
      <c r="J8" s="2" t="s">
        <v>24</v>
      </c>
      <c r="K8" s="42">
        <f t="shared" si="0"/>
        <v>0</v>
      </c>
      <c r="L8" s="2">
        <v>0</v>
      </c>
    </row>
    <row r="9" spans="2:13" x14ac:dyDescent="0.25">
      <c r="B9" s="26">
        <v>2</v>
      </c>
      <c r="C9" s="40">
        <v>2</v>
      </c>
      <c r="D9" s="41" t="str">
        <f t="shared" si="1"/>
        <v>Station 1</v>
      </c>
      <c r="E9" s="40">
        <v>5</v>
      </c>
      <c r="F9" s="41" t="str">
        <f t="shared" si="2"/>
        <v>Station 4</v>
      </c>
      <c r="G9" s="40">
        <v>2</v>
      </c>
      <c r="I9" s="2">
        <v>4</v>
      </c>
      <c r="J9" s="2" t="s">
        <v>25</v>
      </c>
      <c r="K9" s="42">
        <f t="shared" si="0"/>
        <v>0</v>
      </c>
      <c r="L9" s="2">
        <v>0</v>
      </c>
    </row>
    <row r="10" spans="2:13" x14ac:dyDescent="0.25">
      <c r="B10" s="26">
        <v>2</v>
      </c>
      <c r="C10" s="40">
        <v>3</v>
      </c>
      <c r="D10" s="41" t="str">
        <f t="shared" si="1"/>
        <v>Station 2</v>
      </c>
      <c r="E10" s="40">
        <v>4</v>
      </c>
      <c r="F10" s="41" t="str">
        <f t="shared" si="2"/>
        <v>Station 3</v>
      </c>
      <c r="G10" s="40">
        <v>2</v>
      </c>
      <c r="I10" s="2">
        <v>5</v>
      </c>
      <c r="J10" s="2" t="s">
        <v>26</v>
      </c>
      <c r="K10" s="42">
        <f t="shared" si="0"/>
        <v>0</v>
      </c>
      <c r="L10" s="2">
        <v>0</v>
      </c>
    </row>
    <row r="11" spans="2:13" ht="13.8" thickBot="1" x14ac:dyDescent="0.3">
      <c r="B11" s="26">
        <v>2</v>
      </c>
      <c r="C11" s="40">
        <v>3</v>
      </c>
      <c r="D11" s="41" t="str">
        <f t="shared" si="1"/>
        <v>Station 2</v>
      </c>
      <c r="E11" s="40">
        <v>5</v>
      </c>
      <c r="F11" s="41" t="str">
        <f t="shared" si="2"/>
        <v>Station 4</v>
      </c>
      <c r="G11" s="40">
        <v>5</v>
      </c>
      <c r="I11" s="3">
        <v>6</v>
      </c>
      <c r="J11" s="10" t="s">
        <v>27</v>
      </c>
      <c r="K11" s="42">
        <f t="shared" si="0"/>
        <v>0</v>
      </c>
      <c r="L11" s="2">
        <v>0</v>
      </c>
    </row>
    <row r="12" spans="2:13" x14ac:dyDescent="0.25">
      <c r="B12" s="26">
        <v>5</v>
      </c>
      <c r="C12" s="40">
        <v>4</v>
      </c>
      <c r="D12" s="41" t="str">
        <f t="shared" si="1"/>
        <v>Station 3</v>
      </c>
      <c r="E12" s="40">
        <v>6</v>
      </c>
      <c r="F12" s="41" t="str">
        <f t="shared" si="2"/>
        <v>Refinery</v>
      </c>
      <c r="G12" s="40">
        <v>6</v>
      </c>
      <c r="I12" s="43"/>
      <c r="J12" s="43"/>
      <c r="K12" s="43"/>
      <c r="L12" s="43"/>
      <c r="M12" s="44"/>
    </row>
    <row r="13" spans="2:13" x14ac:dyDescent="0.25">
      <c r="B13" s="26">
        <v>4</v>
      </c>
      <c r="C13" s="40">
        <v>5</v>
      </c>
      <c r="D13" s="41" t="str">
        <f t="shared" si="1"/>
        <v>Station 4</v>
      </c>
      <c r="E13" s="40">
        <v>6</v>
      </c>
      <c r="F13" s="41" t="str">
        <f t="shared" si="2"/>
        <v>Refinery</v>
      </c>
      <c r="G13" s="40">
        <v>4</v>
      </c>
    </row>
    <row r="14" spans="2:13" ht="13.8" thickBot="1" x14ac:dyDescent="0.3">
      <c r="B14" s="26">
        <v>9</v>
      </c>
      <c r="C14" s="45">
        <v>6</v>
      </c>
      <c r="D14" s="41" t="str">
        <f t="shared" si="1"/>
        <v>Refinery</v>
      </c>
      <c r="E14" s="45">
        <v>1</v>
      </c>
      <c r="F14" s="41" t="str">
        <f t="shared" si="2"/>
        <v>Oil Field</v>
      </c>
      <c r="G14" s="45">
        <v>9999</v>
      </c>
    </row>
    <row r="15" spans="2:13" ht="13.8" thickBot="1" x14ac:dyDescent="0.3">
      <c r="B15" s="43"/>
      <c r="C15" s="43"/>
      <c r="D15" s="43"/>
      <c r="E15" s="43"/>
      <c r="F15" s="43"/>
      <c r="G15" s="43"/>
    </row>
    <row r="16" spans="2:13" ht="14.4" thickTop="1" thickBot="1" x14ac:dyDescent="0.3">
      <c r="B16" s="27">
        <f>B14</f>
        <v>9</v>
      </c>
      <c r="C16" s="46" t="s">
        <v>21</v>
      </c>
      <c r="D16" s="46"/>
      <c r="E16" s="2"/>
      <c r="F16" s="2"/>
      <c r="G16" s="2"/>
    </row>
    <row r="17" spans="8:10" ht="13.8" thickTop="1" x14ac:dyDescent="0.25"/>
    <row r="18" spans="8:10" x14ac:dyDescent="0.25">
      <c r="H18" s="47"/>
      <c r="J18"/>
    </row>
  </sheetData>
  <phoneticPr fontId="12" type="noConversion"/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Transshipment</vt:lpstr>
      <vt:lpstr>Shortest Route</vt:lpstr>
      <vt:lpstr>Generalised Flow</vt:lpstr>
      <vt:lpstr>Maximum Flow</vt:lpstr>
    </vt:vector>
  </TitlesOfParts>
  <Company>Virginia 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Lecture 5</dc:title>
  <dc:subject>BIM</dc:subject>
  <dc:creator>Mary Lim</dc:creator>
  <cp:lastModifiedBy>Poh Lim</cp:lastModifiedBy>
  <cp:lastPrinted>1996-12-13T16:25:21Z</cp:lastPrinted>
  <dcterms:created xsi:type="dcterms:W3CDTF">1996-12-10T22:33:21Z</dcterms:created>
  <dcterms:modified xsi:type="dcterms:W3CDTF">2018-08-31T04:28:12Z</dcterms:modified>
</cp:coreProperties>
</file>