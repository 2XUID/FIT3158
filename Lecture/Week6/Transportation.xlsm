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ad.monash.edu\home\User081\phlee\Documents\2018\FIT3158\Lecture\Week 6\"/>
    </mc:Choice>
  </mc:AlternateContent>
  <bookViews>
    <workbookView xWindow="96" yWindow="120" windowWidth="9408" windowHeight="4080" activeTab="2"/>
  </bookViews>
  <sheets>
    <sheet name="Ski-ShipmentSchedule - Method 1" sheetId="1" r:id="rId1"/>
    <sheet name="Answer Report" sheetId="2" r:id="rId2"/>
    <sheet name="Ski-ShipmentSchedule - Meth II" sheetId="3" r:id="rId3"/>
  </sheets>
  <definedNames>
    <definedName name="anscount" hidden="1">10</definedName>
    <definedName name="_xlnm.Print_Area" localSheetId="0">'Ski-ShipmentSchedule - Method 1'!$A$1:$H$17</definedName>
    <definedName name="sencount" hidden="1">9</definedName>
    <definedName name="solver_adj" localSheetId="2" hidden="1">'Ski-ShipmentSchedule - Meth II'!$B$6:$B$17</definedName>
    <definedName name="solver_adj" localSheetId="0" hidden="1">'Ski-ShipmentSchedule - Method 1'!$B$12:$E$14</definedName>
    <definedName name="solver_cvg" localSheetId="2" hidden="1">0.0001</definedName>
    <definedName name="solver_cvg" localSheetId="0" hidden="1">0.001</definedName>
    <definedName name="solver_drv" localSheetId="2" hidden="1">1</definedName>
    <definedName name="solver_drv" localSheetId="0" hidden="1">1</definedName>
    <definedName name="solver_est" localSheetId="2" hidden="1">1</definedName>
    <definedName name="solver_est" localSheetId="0" hidden="1">1</definedName>
    <definedName name="solver_itr" localSheetId="2" hidden="1">100</definedName>
    <definedName name="solver_itr" localSheetId="0" hidden="1">100</definedName>
    <definedName name="solver_lhs1" localSheetId="2" hidden="1">'Ski-ShipmentSchedule - Meth II'!$B$6:$B$17</definedName>
    <definedName name="solver_lhs1" localSheetId="0" hidden="1">'Ski-ShipmentSchedule - Method 1'!$F$12:$F$14</definedName>
    <definedName name="solver_lhs2" localSheetId="2" hidden="1">'Ski-ShipmentSchedule - Meth II'!$K$6:$K$12</definedName>
    <definedName name="solver_lhs2" localSheetId="0" hidden="1">'Ski-ShipmentSchedule - Method 1'!$B$15:$E$15</definedName>
    <definedName name="solver_lin" localSheetId="2" hidden="1">1</definedName>
    <definedName name="solver_lin" localSheetId="0" hidden="1">1</definedName>
    <definedName name="solver_neg" localSheetId="2" hidden="1">2</definedName>
    <definedName name="solver_neg" localSheetId="0" hidden="1">1</definedName>
    <definedName name="solver_num" localSheetId="2" hidden="1">2</definedName>
    <definedName name="solver_num" localSheetId="0" hidden="1">2</definedName>
    <definedName name="solver_nwt" localSheetId="2" hidden="1">1</definedName>
    <definedName name="solver_nwt" localSheetId="0" hidden="1">1</definedName>
    <definedName name="solver_opt" localSheetId="2" hidden="1">'Ski-ShipmentSchedule - Meth II'!$G$19</definedName>
    <definedName name="solver_opt" localSheetId="0" hidden="1">'Ski-ShipmentSchedule - Method 1'!$F$9</definedName>
    <definedName name="solver_pre" localSheetId="2" hidden="1">0.000001</definedName>
    <definedName name="solver_pre" localSheetId="0" hidden="1">0.000001</definedName>
    <definedName name="solver_rel1" localSheetId="2" hidden="1">3</definedName>
    <definedName name="solver_rel1" localSheetId="0" hidden="1">2</definedName>
    <definedName name="solver_rel2" localSheetId="2" hidden="1">2</definedName>
    <definedName name="solver_rel2" localSheetId="0" hidden="1">2</definedName>
    <definedName name="solver_rhs1" localSheetId="2" hidden="1">0</definedName>
    <definedName name="solver_rhs1" localSheetId="0" hidden="1">'Ski-ShipmentSchedule - Method 1'!$F$5:$F$7</definedName>
    <definedName name="solver_rhs2" localSheetId="2" hidden="1">'Ski-ShipmentSchedule - Meth II'!$L$6:$L$12</definedName>
    <definedName name="solver_rhs2" localSheetId="0" hidden="1">'Ski-ShipmentSchedule - Method 1'!$B$8:$E$8</definedName>
    <definedName name="solver_scl" localSheetId="2" hidden="1">2</definedName>
    <definedName name="solver_scl" localSheetId="0" hidden="1">2</definedName>
    <definedName name="solver_sho" localSheetId="2" hidden="1">2</definedName>
    <definedName name="solver_sho" localSheetId="0" hidden="1">2</definedName>
    <definedName name="solver_tim" localSheetId="2" hidden="1">100</definedName>
    <definedName name="solver_tim" localSheetId="0" hidden="1">100</definedName>
    <definedName name="solver_tol" localSheetId="2" hidden="1">0.05</definedName>
    <definedName name="solver_tol" localSheetId="0" hidden="1">0.05</definedName>
    <definedName name="solver_typ" localSheetId="2" hidden="1">2</definedName>
    <definedName name="solver_typ" localSheetId="0" hidden="1">2</definedName>
    <definedName name="solver_val" localSheetId="2" hidden="1">0</definedName>
    <definedName name="solver_val" localSheetId="0" hidden="1">0</definedName>
  </definedNames>
  <calcPr calcId="162913"/>
</workbook>
</file>

<file path=xl/calcChain.xml><?xml version="1.0" encoding="utf-8"?>
<calcChain xmlns="http://schemas.openxmlformats.org/spreadsheetml/2006/main">
  <c r="F7" i="3" l="1"/>
  <c r="F8" i="3"/>
  <c r="F9" i="3"/>
  <c r="F10" i="3"/>
  <c r="F11" i="3"/>
  <c r="F12" i="3"/>
  <c r="F13" i="3"/>
  <c r="F14" i="3"/>
  <c r="F15" i="3"/>
  <c r="F16" i="3"/>
  <c r="F17" i="3"/>
  <c r="D7" i="3"/>
  <c r="D8" i="3"/>
  <c r="D9" i="3"/>
  <c r="D10" i="3"/>
  <c r="D11" i="3"/>
  <c r="D12" i="3"/>
  <c r="D13" i="3"/>
  <c r="D14" i="3"/>
  <c r="D15" i="3"/>
  <c r="D16" i="3"/>
  <c r="D17" i="3"/>
  <c r="F6" i="3"/>
  <c r="D6" i="3"/>
  <c r="G19" i="3" l="1"/>
  <c r="K12" i="3"/>
  <c r="K11" i="3"/>
  <c r="K10" i="3"/>
  <c r="K9" i="3"/>
  <c r="K8" i="3"/>
  <c r="K7" i="3"/>
  <c r="K6" i="3"/>
  <c r="F9" i="1"/>
  <c r="F12" i="1"/>
  <c r="F13" i="1"/>
  <c r="F14" i="1"/>
  <c r="B15" i="1"/>
  <c r="C15" i="1"/>
  <c r="D15" i="1"/>
  <c r="E15" i="1"/>
</calcChain>
</file>

<file path=xl/comments1.xml><?xml version="1.0" encoding="utf-8"?>
<comments xmlns="http://schemas.openxmlformats.org/spreadsheetml/2006/main">
  <authors>
    <author>William D. Whisler</author>
  </authors>
  <commentList>
    <comment ref="I3" authorId="0" shapeId="0">
      <text>
        <r>
          <rPr>
            <b/>
            <sz val="8"/>
            <color indexed="81"/>
            <rFont val="Tahoma"/>
            <family val="2"/>
          </rPr>
          <t>1.  Enter the data:  the capacities in cells F5:F7 and their source names in cells A5:A7, the demands in cells B8:E8 and the destination names in cells B4:E4, and the costs in cells B5:E7.
2.  To find the solution, click on Tools and Solver to obtain the Solver Parameters dialog box and then click the Solve button.
3.  For bigger problems or if dummies are needed, insert additional  rows or columns.  Insert them in the middle of the table and not at the beginning or the end.  Copy the formulas in column F and row 15 to any new cells created by the insertions.  Check to make sure the ranges of the formulas in the Solver Parameters dialog box are correct.</t>
        </r>
      </text>
    </comment>
  </commentList>
</comments>
</file>

<file path=xl/comments2.xml><?xml version="1.0" encoding="utf-8"?>
<comments xmlns="http://schemas.openxmlformats.org/spreadsheetml/2006/main">
  <authors>
    <author>William D. Whisler</author>
  </authors>
  <commentList>
    <comment ref="H4" authorId="0" shapeId="0">
      <text>
        <r>
          <rPr>
            <b/>
            <sz val="8"/>
            <color indexed="81"/>
            <rFont val="Tahoma"/>
            <family val="2"/>
          </rPr>
          <t xml:space="preserve">     To get this Answer Report, first solve using Solver, highlight Answer Report in the Solver Results dialog box, and then click the OK button.  Note that this report appears on another tab next to the original spreadsheet.</t>
        </r>
      </text>
    </comment>
  </commentList>
</comments>
</file>

<file path=xl/comments3.xml><?xml version="1.0" encoding="utf-8"?>
<comments xmlns="http://schemas.openxmlformats.org/spreadsheetml/2006/main">
  <authors>
    <author>A satisfied Microsoft Office user</author>
  </authors>
  <commentList>
    <comment ref="B6" authorId="0" shapeId="0">
      <text>
        <r>
          <rPr>
            <sz val="8"/>
            <color indexed="81"/>
            <rFont val="Tahoma"/>
            <family val="2"/>
          </rPr>
          <t>Variable cell</t>
        </r>
      </text>
    </comment>
    <comment ref="K6" authorId="0" shapeId="0">
      <text>
        <r>
          <rPr>
            <sz val="8"/>
            <color indexed="81"/>
            <rFont val="Tahoma"/>
            <family val="2"/>
          </rPr>
          <t>Constraint cell</t>
        </r>
      </text>
    </comment>
    <comment ref="B7" authorId="0" shapeId="0">
      <text>
        <r>
          <rPr>
            <sz val="8"/>
            <color indexed="81"/>
            <rFont val="Tahoma"/>
            <family val="2"/>
          </rPr>
          <t>Variable cell</t>
        </r>
      </text>
    </comment>
    <comment ref="K7" authorId="0" shapeId="0">
      <text>
        <r>
          <rPr>
            <sz val="8"/>
            <color indexed="81"/>
            <rFont val="Tahoma"/>
            <family val="2"/>
          </rPr>
          <t>Constraint cell</t>
        </r>
      </text>
    </comment>
    <comment ref="B8" authorId="0" shapeId="0">
      <text>
        <r>
          <rPr>
            <sz val="8"/>
            <color indexed="81"/>
            <rFont val="Tahoma"/>
            <family val="2"/>
          </rPr>
          <t>Variable cell</t>
        </r>
      </text>
    </comment>
    <comment ref="K8" authorId="0" shapeId="0">
      <text>
        <r>
          <rPr>
            <sz val="8"/>
            <color indexed="81"/>
            <rFont val="Tahoma"/>
            <family val="2"/>
          </rPr>
          <t>Constraint cell</t>
        </r>
      </text>
    </comment>
    <comment ref="B9" authorId="0" shapeId="0">
      <text>
        <r>
          <rPr>
            <sz val="8"/>
            <color indexed="81"/>
            <rFont val="Tahoma"/>
            <family val="2"/>
          </rPr>
          <t>Variable cell</t>
        </r>
      </text>
    </comment>
    <comment ref="K9" authorId="0" shapeId="0">
      <text>
        <r>
          <rPr>
            <sz val="8"/>
            <color indexed="81"/>
            <rFont val="Tahoma"/>
            <family val="2"/>
          </rPr>
          <t>Constraint cell</t>
        </r>
      </text>
    </comment>
    <comment ref="B10" authorId="0" shapeId="0">
      <text>
        <r>
          <rPr>
            <sz val="8"/>
            <color indexed="81"/>
            <rFont val="Tahoma"/>
            <family val="2"/>
          </rPr>
          <t>Variable cell</t>
        </r>
      </text>
    </comment>
    <comment ref="K10" authorId="0" shapeId="0">
      <text>
        <r>
          <rPr>
            <sz val="8"/>
            <color indexed="81"/>
            <rFont val="Tahoma"/>
            <family val="2"/>
          </rPr>
          <t>Constraint cell</t>
        </r>
      </text>
    </comment>
    <comment ref="B11" authorId="0" shapeId="0">
      <text>
        <r>
          <rPr>
            <sz val="8"/>
            <color indexed="81"/>
            <rFont val="Tahoma"/>
            <family val="2"/>
          </rPr>
          <t>Variable cell</t>
        </r>
      </text>
    </comment>
    <comment ref="K11" authorId="0" shapeId="0">
      <text>
        <r>
          <rPr>
            <sz val="8"/>
            <color indexed="81"/>
            <rFont val="Tahoma"/>
            <family val="2"/>
          </rPr>
          <t>Constraint cell</t>
        </r>
      </text>
    </comment>
    <comment ref="B12" authorId="0" shapeId="0">
      <text>
        <r>
          <rPr>
            <sz val="8"/>
            <color indexed="81"/>
            <rFont val="Tahoma"/>
            <family val="2"/>
          </rPr>
          <t>Variable cell</t>
        </r>
      </text>
    </comment>
    <comment ref="K12" authorId="0" shapeId="0">
      <text>
        <r>
          <rPr>
            <sz val="8"/>
            <color indexed="81"/>
            <rFont val="Tahoma"/>
            <family val="2"/>
          </rPr>
          <t>Constraint cell</t>
        </r>
      </text>
    </comment>
    <comment ref="B13" authorId="0" shapeId="0">
      <text>
        <r>
          <rPr>
            <sz val="8"/>
            <color indexed="81"/>
            <rFont val="Tahoma"/>
            <family val="2"/>
          </rPr>
          <t>Variable cell</t>
        </r>
      </text>
    </comment>
    <comment ref="B14" authorId="0" shapeId="0">
      <text>
        <r>
          <rPr>
            <sz val="8"/>
            <color indexed="81"/>
            <rFont val="Tahoma"/>
            <family val="2"/>
          </rPr>
          <t>Variable cell</t>
        </r>
      </text>
    </comment>
    <comment ref="B15" authorId="0" shapeId="0">
      <text>
        <r>
          <rPr>
            <sz val="8"/>
            <color indexed="81"/>
            <rFont val="Tahoma"/>
            <family val="2"/>
          </rPr>
          <t>Variable cell</t>
        </r>
      </text>
    </comment>
    <comment ref="B17" authorId="0" shapeId="0">
      <text>
        <r>
          <rPr>
            <sz val="8"/>
            <color indexed="81"/>
            <rFont val="Tahoma"/>
            <family val="2"/>
          </rPr>
          <t>Variable cell</t>
        </r>
      </text>
    </comment>
    <comment ref="G19" authorId="0" shapeId="0">
      <text>
        <r>
          <rPr>
            <sz val="8"/>
            <color indexed="81"/>
            <rFont val="Tahoma"/>
            <family val="2"/>
          </rPr>
          <t>Set cell</t>
        </r>
      </text>
    </comment>
  </commentList>
</comments>
</file>

<file path=xl/sharedStrings.xml><?xml version="1.0" encoding="utf-8"?>
<sst xmlns="http://schemas.openxmlformats.org/spreadsheetml/2006/main" count="113" uniqueCount="84">
  <si>
    <t>Ski Shipment-Scheduling Illustration</t>
  </si>
  <si>
    <t>From</t>
  </si>
  <si>
    <t>To Warehouse</t>
  </si>
  <si>
    <t>Plant</t>
  </si>
  <si>
    <t>Frankfurt</t>
  </si>
  <si>
    <t>New York</t>
  </si>
  <si>
    <t>Phoenix</t>
  </si>
  <si>
    <t>Yokohama</t>
  </si>
  <si>
    <t>Capacity</t>
  </si>
  <si>
    <t>Juarez</t>
  </si>
  <si>
    <t>Seoul</t>
  </si>
  <si>
    <t>Tel Aviv</t>
  </si>
  <si>
    <t>Demand</t>
  </si>
  <si>
    <t>C(min)</t>
  </si>
  <si>
    <t>Solution</t>
  </si>
  <si>
    <t>Total</t>
  </si>
  <si>
    <t>Target Cell (Min)</t>
  </si>
  <si>
    <t>Cell</t>
  </si>
  <si>
    <t>Name</t>
  </si>
  <si>
    <t>Original Value</t>
  </si>
  <si>
    <t>Final Value</t>
  </si>
  <si>
    <t>Adjustable Cells</t>
  </si>
  <si>
    <t>Constraints</t>
  </si>
  <si>
    <t>Cell Value</t>
  </si>
  <si>
    <t>Formula</t>
  </si>
  <si>
    <t>Status</t>
  </si>
  <si>
    <t>Slack</t>
  </si>
  <si>
    <t>$F$9</t>
  </si>
  <si>
    <t>Solution C(min)</t>
  </si>
  <si>
    <t>$B$12</t>
  </si>
  <si>
    <t>Juarez Frankfurt</t>
  </si>
  <si>
    <t>$C$12</t>
  </si>
  <si>
    <t>Juarez New York</t>
  </si>
  <si>
    <t>$D$12</t>
  </si>
  <si>
    <t>Juarez Phoenix</t>
  </si>
  <si>
    <t>$E$12</t>
  </si>
  <si>
    <t>Juarez Yokohama</t>
  </si>
  <si>
    <t>$B$13</t>
  </si>
  <si>
    <t>Seoul Frankfurt</t>
  </si>
  <si>
    <t>$C$13</t>
  </si>
  <si>
    <t>Seoul New York</t>
  </si>
  <si>
    <t>$D$13</t>
  </si>
  <si>
    <t>Seoul Phoenix</t>
  </si>
  <si>
    <t>$E$13</t>
  </si>
  <si>
    <t>Seoul Yokohama</t>
  </si>
  <si>
    <t>$B$14</t>
  </si>
  <si>
    <t>Tel Aviv Frankfurt</t>
  </si>
  <si>
    <t>$C$14</t>
  </si>
  <si>
    <t>Tel Aviv New York</t>
  </si>
  <si>
    <t>$D$14</t>
  </si>
  <si>
    <t>Tel Aviv Phoenix</t>
  </si>
  <si>
    <t>$E$14</t>
  </si>
  <si>
    <t>Tel Aviv Yokohama</t>
  </si>
  <si>
    <t>$F$12</t>
  </si>
  <si>
    <t>Juarez Total</t>
  </si>
  <si>
    <t>$F$12=$F$5</t>
  </si>
  <si>
    <t>Binding</t>
  </si>
  <si>
    <t>$F$13</t>
  </si>
  <si>
    <t>Seoul Total</t>
  </si>
  <si>
    <t>$F$13=$F$6</t>
  </si>
  <si>
    <t>$F$14</t>
  </si>
  <si>
    <t>Tel Aviv Total</t>
  </si>
  <si>
    <t>$F$14=$F$7</t>
  </si>
  <si>
    <t>Not Binding</t>
  </si>
  <si>
    <t>$B$15</t>
  </si>
  <si>
    <t>Total Frankfurt</t>
  </si>
  <si>
    <t>$B$15=$B$8</t>
  </si>
  <si>
    <t>$C$15</t>
  </si>
  <si>
    <t>Total New York</t>
  </si>
  <si>
    <t>$C$15=$C$8</t>
  </si>
  <si>
    <t>$D$15</t>
  </si>
  <si>
    <t>Total Phoenix</t>
  </si>
  <si>
    <t>$D$15=$D$8</t>
  </si>
  <si>
    <t>$E$15</t>
  </si>
  <si>
    <t>Total Yokohama</t>
  </si>
  <si>
    <t>$E$15=$E$8</t>
  </si>
  <si>
    <t>Ship</t>
  </si>
  <si>
    <t xml:space="preserve">  From</t>
  </si>
  <si>
    <t xml:space="preserve">  To</t>
  </si>
  <si>
    <t>Unit Cost</t>
  </si>
  <si>
    <t xml:space="preserve">  Nodes</t>
  </si>
  <si>
    <t>Net Flow</t>
  </si>
  <si>
    <t>Supply/Demand</t>
  </si>
  <si>
    <t xml:space="preserve">Total Transportation Cost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</si>
</sst>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quot;#,##0_);[Red]\(&quot;$&quot;#,##0\)"/>
    <numFmt numFmtId="165" formatCode="&quot;$&quot;#,##0"/>
  </numFmts>
  <fonts count="11" x14ac:knownFonts="1">
    <font>
      <sz val="10"/>
      <name val="Arial"/>
    </font>
    <font>
      <b/>
      <sz val="12"/>
      <name val="Arial"/>
      <family val="2"/>
    </font>
    <font>
      <b/>
      <sz val="10"/>
      <color indexed="18"/>
      <name val="Arial"/>
      <family val="2"/>
    </font>
    <font>
      <b/>
      <sz val="8"/>
      <color indexed="81"/>
      <name val="Tahoma"/>
      <family val="2"/>
    </font>
    <font>
      <sz val="10"/>
      <name val="Arial"/>
      <family val="2"/>
    </font>
    <font>
      <b/>
      <sz val="10"/>
      <name val="Arial"/>
      <family val="2"/>
    </font>
    <font>
      <b/>
      <sz val="10"/>
      <color indexed="17"/>
      <name val="Arial"/>
      <family val="2"/>
    </font>
    <font>
      <b/>
      <sz val="10"/>
      <color indexed="10"/>
      <name val="Arial"/>
      <family val="2"/>
    </font>
    <font>
      <b/>
      <sz val="10"/>
      <color indexed="8"/>
      <name val="Arial"/>
      <family val="2"/>
    </font>
    <font>
      <b/>
      <sz val="10"/>
      <color indexed="12"/>
      <name val="Arial"/>
      <family val="2"/>
    </font>
    <font>
      <sz val="8"/>
      <color indexed="81"/>
      <name val="Tahoma"/>
      <family val="2"/>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1">
    <border>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23"/>
      </top>
      <bottom style="medium">
        <color indexed="23"/>
      </bottom>
      <diagonal/>
    </border>
    <border>
      <left/>
      <right/>
      <top style="medium">
        <color indexed="23"/>
      </top>
      <bottom style="medium">
        <color indexed="23"/>
      </bottom>
      <diagonal/>
    </border>
    <border>
      <left/>
      <right/>
      <top style="thin">
        <color indexed="23"/>
      </top>
      <bottom/>
      <diagonal/>
    </border>
    <border>
      <left/>
      <right/>
      <top/>
      <bottom style="medium">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dotted">
        <color indexed="64"/>
      </left>
      <right style="dotted">
        <color indexed="64"/>
      </right>
      <top style="dotted">
        <color indexed="64"/>
      </top>
      <bottom/>
      <diagonal/>
    </border>
    <border>
      <left/>
      <right/>
      <top style="medium">
        <color indexed="64"/>
      </top>
      <bottom/>
      <diagonal/>
    </border>
    <border>
      <left style="double">
        <color indexed="64"/>
      </left>
      <right style="double">
        <color indexed="64"/>
      </right>
      <top style="double">
        <color indexed="64"/>
      </top>
      <bottom style="double">
        <color indexed="64"/>
      </bottom>
      <diagonal/>
    </border>
  </borders>
  <cellStyleXfs count="1">
    <xf numFmtId="0" fontId="0" fillId="0" borderId="0"/>
  </cellStyleXfs>
  <cellXfs count="49">
    <xf numFmtId="0" fontId="0" fillId="0" borderId="0" xfId="0"/>
    <xf numFmtId="0" fontId="1" fillId="0" borderId="0" xfId="0" applyFont="1" applyAlignment="1">
      <alignment horizontal="center"/>
    </xf>
    <xf numFmtId="0" fontId="1" fillId="0" borderId="0" xfId="0" applyFont="1"/>
    <xf numFmtId="0" fontId="0" fillId="0" borderId="1" xfId="0" applyBorder="1" applyAlignment="1">
      <alignment horizontal="center"/>
    </xf>
    <xf numFmtId="0" fontId="0" fillId="0" borderId="2" xfId="0" applyBorder="1"/>
    <xf numFmtId="0" fontId="0" fillId="0" borderId="3" xfId="0" applyBorder="1"/>
    <xf numFmtId="0" fontId="0" fillId="0" borderId="4" xfId="0" applyBorder="1" applyAlignment="1">
      <alignment horizontal="center"/>
    </xf>
    <xf numFmtId="0" fontId="0" fillId="0" borderId="5" xfId="0" applyBorder="1"/>
    <xf numFmtId="0" fontId="0" fillId="0" borderId="0" xfId="0" applyAlignment="1">
      <alignment horizontal="center"/>
    </xf>
    <xf numFmtId="0" fontId="0" fillId="0" borderId="6" xfId="0" applyBorder="1"/>
    <xf numFmtId="0" fontId="0" fillId="0" borderId="6" xfId="0" applyBorder="1" applyAlignment="1">
      <alignment horizontal="center"/>
    </xf>
    <xf numFmtId="0" fontId="0" fillId="0" borderId="0" xfId="0" applyBorder="1" applyAlignment="1">
      <alignment horizontal="center"/>
    </xf>
    <xf numFmtId="0" fontId="0" fillId="0" borderId="7" xfId="0" applyBorder="1" applyAlignment="1">
      <alignment horizontal="center"/>
    </xf>
    <xf numFmtId="0" fontId="0" fillId="0" borderId="8" xfId="0" applyBorder="1"/>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Fill="1" applyBorder="1" applyAlignment="1"/>
    <xf numFmtId="0" fontId="2" fillId="0" borderId="12" xfId="0" applyFont="1" applyFill="1" applyBorder="1" applyAlignment="1">
      <alignment horizontal="center"/>
    </xf>
    <xf numFmtId="0" fontId="0" fillId="0" borderId="13" xfId="0" applyFill="1" applyBorder="1" applyAlignment="1"/>
    <xf numFmtId="164" fontId="0" fillId="0" borderId="11" xfId="0" applyNumberFormat="1" applyFill="1" applyBorder="1" applyAlignment="1"/>
    <xf numFmtId="0" fontId="0" fillId="0" borderId="13" xfId="0" applyNumberFormat="1" applyFill="1" applyBorder="1" applyAlignment="1"/>
    <xf numFmtId="0" fontId="0" fillId="0" borderId="11" xfId="0" applyNumberFormat="1" applyFill="1" applyBorder="1" applyAlignment="1"/>
    <xf numFmtId="0" fontId="1" fillId="0" borderId="0" xfId="0" applyFont="1" applyAlignment="1">
      <alignment horizontal="left"/>
    </xf>
    <xf numFmtId="0" fontId="0" fillId="0" borderId="0" xfId="0" applyAlignment="1"/>
    <xf numFmtId="0" fontId="5" fillId="0" borderId="0" xfId="0" applyFont="1" applyAlignment="1">
      <alignment horizontal="center"/>
    </xf>
    <xf numFmtId="0" fontId="5" fillId="0" borderId="14" xfId="0" applyFont="1" applyBorder="1" applyAlignment="1">
      <alignment horizontal="center"/>
    </xf>
    <xf numFmtId="0" fontId="5" fillId="0" borderId="14" xfId="0" applyFont="1" applyBorder="1" applyAlignment="1">
      <alignment horizontal="left"/>
    </xf>
    <xf numFmtId="0" fontId="5" fillId="0" borderId="14" xfId="0" applyFont="1" applyBorder="1"/>
    <xf numFmtId="0" fontId="0" fillId="0" borderId="14" xfId="0" applyBorder="1" applyAlignment="1">
      <alignment horizontal="left"/>
    </xf>
    <xf numFmtId="0" fontId="6" fillId="2" borderId="15" xfId="0" applyFont="1" applyFill="1" applyBorder="1" applyAlignment="1">
      <alignment horizontal="center"/>
    </xf>
    <xf numFmtId="0" fontId="4" fillId="0" borderId="0" xfId="0" applyFont="1"/>
    <xf numFmtId="165" fontId="5" fillId="0" borderId="0" xfId="0" applyNumberFormat="1" applyFont="1" applyAlignment="1">
      <alignment horizontal="center"/>
    </xf>
    <xf numFmtId="0" fontId="5" fillId="0" borderId="0" xfId="0" applyFont="1"/>
    <xf numFmtId="0" fontId="7" fillId="2" borderId="16" xfId="0" applyFont="1" applyFill="1" applyBorder="1" applyAlignment="1">
      <alignment horizontal="center"/>
    </xf>
    <xf numFmtId="0" fontId="7" fillId="2" borderId="17" xfId="0" applyFont="1" applyFill="1" applyBorder="1" applyAlignment="1">
      <alignment horizontal="center"/>
    </xf>
    <xf numFmtId="0" fontId="5" fillId="0" borderId="0" xfId="0" applyFont="1" applyFill="1" applyBorder="1" applyAlignment="1">
      <alignment horizontal="center"/>
    </xf>
    <xf numFmtId="0" fontId="8" fillId="0" borderId="0" xfId="0" applyFont="1" applyFill="1" applyBorder="1"/>
    <xf numFmtId="0" fontId="7" fillId="0" borderId="0" xfId="0" applyFont="1" applyFill="1" applyBorder="1" applyAlignment="1">
      <alignment horizontal="center"/>
    </xf>
    <xf numFmtId="0" fontId="6" fillId="2" borderId="18" xfId="0" applyFont="1" applyFill="1" applyBorder="1" applyAlignment="1">
      <alignment horizontal="center"/>
    </xf>
    <xf numFmtId="0" fontId="4" fillId="0" borderId="14" xfId="0" applyFont="1" applyBorder="1"/>
    <xf numFmtId="165" fontId="5" fillId="0" borderId="14" xfId="0" applyNumberFormat="1" applyFont="1" applyBorder="1" applyAlignment="1">
      <alignment horizontal="center"/>
    </xf>
    <xf numFmtId="0" fontId="6" fillId="0" borderId="19" xfId="0" applyFont="1" applyFill="1" applyBorder="1" applyAlignment="1">
      <alignment horizontal="center"/>
    </xf>
    <xf numFmtId="0" fontId="0" fillId="0" borderId="0" xfId="0" applyBorder="1"/>
    <xf numFmtId="165" fontId="0" fillId="0" borderId="0" xfId="0" applyNumberFormat="1" applyBorder="1" applyAlignment="1">
      <alignment horizontal="center"/>
    </xf>
    <xf numFmtId="0" fontId="5" fillId="0" borderId="0" xfId="0" applyFont="1" applyAlignment="1">
      <alignment horizontal="right"/>
    </xf>
    <xf numFmtId="165" fontId="9" fillId="2" borderId="20" xfId="0" applyNumberFormat="1" applyFont="1" applyFill="1" applyBorder="1" applyAlignment="1">
      <alignment horizontal="center"/>
    </xf>
    <xf numFmtId="164" fontId="0" fillId="3" borderId="16" xfId="0" applyNumberFormat="1" applyFill="1" applyBorder="1" applyAlignment="1">
      <alignment horizontal="center"/>
    </xf>
    <xf numFmtId="0" fontId="0" fillId="0" borderId="5" xfId="0"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794385</xdr:colOff>
      <xdr:row>0</xdr:row>
      <xdr:rowOff>142875</xdr:rowOff>
    </xdr:from>
    <xdr:to>
      <xdr:col>9</xdr:col>
      <xdr:colOff>520065</xdr:colOff>
      <xdr:row>2</xdr:row>
      <xdr:rowOff>160062</xdr:rowOff>
    </xdr:to>
    <xdr:sp macro="" textlink="">
      <xdr:nvSpPr>
        <xdr:cNvPr id="2" name="Text 2"/>
        <xdr:cNvSpPr>
          <a:spLocks noChangeArrowheads="1"/>
        </xdr:cNvSpPr>
      </xdr:nvSpPr>
      <xdr:spPr bwMode="auto">
        <a:xfrm>
          <a:off x="1647825" y="142875"/>
          <a:ext cx="2714625" cy="333375"/>
        </a:xfrm>
        <a:prstGeom prst="roundRect">
          <a:avLst>
            <a:gd name="adj" fmla="val 16667"/>
          </a:avLst>
        </a:prstGeom>
        <a:solidFill>
          <a:srgbClr val="00FFFF"/>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AU" sz="1000" b="1" i="0" strike="noStrike">
              <a:solidFill>
                <a:srgbClr val="000000"/>
              </a:solidFill>
              <a:latin typeface="Arial"/>
              <a:cs typeface="Arial"/>
            </a:rPr>
            <a:t>Ski-Shipment Schedule</a:t>
          </a:r>
        </a:p>
      </xdr:txBody>
    </xdr:sp>
    <xdr:clientData/>
  </xdr:twoCellAnchor>
  <xdr:twoCellAnchor>
    <xdr:from>
      <xdr:col>7</xdr:col>
      <xdr:colOff>472440</xdr:colOff>
      <xdr:row>13</xdr:row>
      <xdr:rowOff>9525</xdr:rowOff>
    </xdr:from>
    <xdr:to>
      <xdr:col>11</xdr:col>
      <xdr:colOff>577215</xdr:colOff>
      <xdr:row>18</xdr:row>
      <xdr:rowOff>57150</xdr:rowOff>
    </xdr:to>
    <xdr:sp macro="" textlink="">
      <xdr:nvSpPr>
        <xdr:cNvPr id="3" name="Note"/>
        <xdr:cNvSpPr txBox="1">
          <a:spLocks noChangeArrowheads="1"/>
        </xdr:cNvSpPr>
      </xdr:nvSpPr>
      <xdr:spPr bwMode="auto">
        <a:xfrm>
          <a:off x="3629025" y="2133600"/>
          <a:ext cx="2200275" cy="714375"/>
        </a:xfrm>
        <a:prstGeom prst="rect">
          <a:avLst/>
        </a:prstGeom>
        <a:solidFill>
          <a:srgbClr val="FFFF00"/>
        </a:solidFill>
        <a:ln w="9525">
          <a:solidFill>
            <a:srgbClr val="000000"/>
          </a:solidFill>
          <a:miter lim="800000"/>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AU" sz="1000" b="0" i="0" strike="noStrike">
              <a:solidFill>
                <a:srgbClr val="000000"/>
              </a:solidFill>
              <a:latin typeface="Fixedsys"/>
            </a:rPr>
            <a:t>Minimize:    G19</a:t>
          </a:r>
        </a:p>
        <a:p>
          <a:pPr algn="l" rtl="0">
            <a:defRPr sz="1000"/>
          </a:pPr>
          <a:r>
            <a:rPr lang="en-AU" sz="1000" b="0" i="0" strike="noStrike">
              <a:solidFill>
                <a:srgbClr val="000000"/>
              </a:solidFill>
              <a:latin typeface="Fixedsys"/>
            </a:rPr>
            <a:t>By changing: B6:B17</a:t>
          </a:r>
        </a:p>
        <a:p>
          <a:pPr algn="l" rtl="0">
            <a:defRPr sz="1000"/>
          </a:pPr>
          <a:r>
            <a:rPr lang="en-AU" sz="1000" b="0" i="0" strike="noStrike">
              <a:solidFill>
                <a:srgbClr val="000000"/>
              </a:solidFill>
              <a:latin typeface="Fixedsys"/>
            </a:rPr>
            <a:t>Subject to:  K6:K12=L6:L12</a:t>
          </a:r>
        </a:p>
        <a:p>
          <a:pPr algn="l" rtl="0">
            <a:defRPr sz="1000"/>
          </a:pPr>
          <a:r>
            <a:rPr lang="en-AU" sz="1000" b="0" i="0" strike="noStrike">
              <a:solidFill>
                <a:srgbClr val="000000"/>
              </a:solidFill>
              <a:latin typeface="Fixedsys"/>
            </a:rPr>
            <a:t>             B6:B17&gt;=0</a:t>
          </a:r>
        </a:p>
        <a:p>
          <a:pPr algn="l" rtl="0">
            <a:defRPr sz="1000"/>
          </a:pPr>
          <a:r>
            <a:rPr lang="en-AU" sz="1000" b="0" i="0" strike="noStrike">
              <a:solidFill>
                <a:srgbClr val="000000"/>
              </a:solidFill>
              <a:latin typeface="Fixedsys"/>
            </a:rPr>
            <a:t>                 </a:t>
          </a:r>
        </a:p>
        <a:p>
          <a:pPr algn="l" rtl="0">
            <a:defRPr sz="1000"/>
          </a:pPr>
          <a:endParaRPr lang="en-AU" sz="1000" b="0" i="0" strike="noStrike">
            <a:solidFill>
              <a:srgbClr val="000000"/>
            </a:solidFill>
            <a:latin typeface="Fixedsys"/>
          </a:endParaRPr>
        </a:p>
      </xdr:txBody>
    </xdr:sp>
    <xdr:clientData/>
  </xdr:twoCellAnchor>
  <xdr:twoCellAnchor>
    <xdr:from>
      <xdr:col>12</xdr:col>
      <xdr:colOff>342900</xdr:colOff>
      <xdr:row>4</xdr:row>
      <xdr:rowOff>131445</xdr:rowOff>
    </xdr:from>
    <xdr:to>
      <xdr:col>16</xdr:col>
      <xdr:colOff>295275</xdr:colOff>
      <xdr:row>8</xdr:row>
      <xdr:rowOff>66721</xdr:rowOff>
    </xdr:to>
    <xdr:sp macro="" textlink="">
      <xdr:nvSpPr>
        <xdr:cNvPr id="4" name="Line Callout 1 3"/>
        <xdr:cNvSpPr/>
      </xdr:nvSpPr>
      <xdr:spPr bwMode="auto">
        <a:xfrm>
          <a:off x="6638925" y="771525"/>
          <a:ext cx="2390775" cy="600075"/>
        </a:xfrm>
        <a:prstGeom prst="borderCallout1">
          <a:avLst>
            <a:gd name="adj1" fmla="val 56317"/>
            <a:gd name="adj2" fmla="val -3314"/>
            <a:gd name="adj3" fmla="val 115146"/>
            <a:gd name="adj4" fmla="val -21675"/>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AU" sz="1100">
              <a:solidFill>
                <a:srgbClr val="FF0000"/>
              </a:solidFill>
            </a:rPr>
            <a:t>Since Supply = Demand,</a:t>
          </a:r>
        </a:p>
        <a:p>
          <a:pPr algn="ctr"/>
          <a:r>
            <a:rPr lang="en-AU" sz="1100">
              <a:solidFill>
                <a:srgbClr val="FF0000"/>
              </a:solidFill>
            </a:rPr>
            <a:t> Inflow</a:t>
          </a:r>
          <a:r>
            <a:rPr lang="en-AU" sz="1100" baseline="0">
              <a:solidFill>
                <a:srgbClr val="FF0000"/>
              </a:solidFill>
            </a:rPr>
            <a:t> - Outflow = Supply or Demand</a:t>
          </a:r>
          <a:endParaRPr lang="en-AU" sz="1100">
            <a:solidFill>
              <a:srgbClr val="FF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I15"/>
  <sheetViews>
    <sheetView workbookViewId="0">
      <selection activeCell="G22" sqref="G22"/>
    </sheetView>
  </sheetViews>
  <sheetFormatPr defaultColWidth="9.109375" defaultRowHeight="13.2" x14ac:dyDescent="0.25"/>
  <cols>
    <col min="1" max="1" width="7.88671875" customWidth="1"/>
    <col min="2" max="4" width="9.109375" customWidth="1"/>
    <col min="5" max="5" width="10.6640625" customWidth="1"/>
  </cols>
  <sheetData>
    <row r="1" spans="1:9" ht="15.6" x14ac:dyDescent="0.3">
      <c r="B1" s="23" t="s">
        <v>0</v>
      </c>
      <c r="C1" s="23"/>
      <c r="D1" s="23"/>
      <c r="E1" s="23"/>
      <c r="F1" s="23"/>
      <c r="G1" s="1"/>
    </row>
    <row r="2" spans="1:9" ht="15.6" x14ac:dyDescent="0.3">
      <c r="A2" s="2"/>
    </row>
    <row r="3" spans="1:9" x14ac:dyDescent="0.25">
      <c r="A3" s="3" t="s">
        <v>1</v>
      </c>
      <c r="B3" s="4"/>
      <c r="C3" s="48" t="s">
        <v>2</v>
      </c>
      <c r="D3" s="48"/>
      <c r="E3" s="5"/>
    </row>
    <row r="4" spans="1:9" x14ac:dyDescent="0.25">
      <c r="A4" s="6" t="s">
        <v>3</v>
      </c>
      <c r="B4" s="4" t="s">
        <v>4</v>
      </c>
      <c r="C4" s="7" t="s">
        <v>5</v>
      </c>
      <c r="D4" s="7" t="s">
        <v>6</v>
      </c>
      <c r="E4" s="5" t="s">
        <v>7</v>
      </c>
      <c r="F4" s="8" t="s">
        <v>8</v>
      </c>
    </row>
    <row r="5" spans="1:9" x14ac:dyDescent="0.25">
      <c r="A5" s="9" t="s">
        <v>9</v>
      </c>
      <c r="B5" s="10">
        <v>19</v>
      </c>
      <c r="C5" s="11">
        <v>7</v>
      </c>
      <c r="D5" s="11">
        <v>3</v>
      </c>
      <c r="E5" s="12">
        <v>21</v>
      </c>
      <c r="F5" s="8">
        <v>100</v>
      </c>
    </row>
    <row r="6" spans="1:9" x14ac:dyDescent="0.25">
      <c r="A6" s="9" t="s">
        <v>10</v>
      </c>
      <c r="B6" s="10">
        <v>15</v>
      </c>
      <c r="C6" s="11">
        <v>21</v>
      </c>
      <c r="D6" s="11">
        <v>18</v>
      </c>
      <c r="E6" s="12">
        <v>6</v>
      </c>
      <c r="F6" s="8">
        <v>300</v>
      </c>
    </row>
    <row r="7" spans="1:9" x14ac:dyDescent="0.25">
      <c r="A7" s="13" t="s">
        <v>11</v>
      </c>
      <c r="B7" s="14">
        <v>11</v>
      </c>
      <c r="C7" s="15">
        <v>14</v>
      </c>
      <c r="D7" s="15">
        <v>15</v>
      </c>
      <c r="E7" s="16">
        <v>22</v>
      </c>
      <c r="F7" s="8">
        <v>200</v>
      </c>
    </row>
    <row r="8" spans="1:9" x14ac:dyDescent="0.25">
      <c r="A8" t="s">
        <v>12</v>
      </c>
      <c r="B8" s="8">
        <v>150</v>
      </c>
      <c r="C8" s="8">
        <v>100</v>
      </c>
      <c r="D8" s="8">
        <v>200</v>
      </c>
      <c r="E8" s="8">
        <v>150</v>
      </c>
      <c r="F8" t="s">
        <v>13</v>
      </c>
      <c r="G8" s="8"/>
    </row>
    <row r="9" spans="1:9" x14ac:dyDescent="0.25">
      <c r="C9" t="s">
        <v>14</v>
      </c>
      <c r="F9" s="47">
        <f>SUMPRODUCT(B5:E7,B12:E14)</f>
        <v>6250</v>
      </c>
    </row>
    <row r="10" spans="1:9" x14ac:dyDescent="0.25">
      <c r="A10" s="3" t="s">
        <v>1</v>
      </c>
      <c r="B10" s="4"/>
      <c r="C10" s="48" t="s">
        <v>2</v>
      </c>
      <c r="D10" s="48"/>
      <c r="E10" s="5"/>
    </row>
    <row r="11" spans="1:9" x14ac:dyDescent="0.25">
      <c r="A11" s="6" t="s">
        <v>3</v>
      </c>
      <c r="B11" s="4" t="s">
        <v>4</v>
      </c>
      <c r="C11" s="7" t="s">
        <v>5</v>
      </c>
      <c r="D11" s="7" t="s">
        <v>6</v>
      </c>
      <c r="E11" s="5" t="s">
        <v>7</v>
      </c>
      <c r="F11" s="8" t="s">
        <v>15</v>
      </c>
    </row>
    <row r="12" spans="1:9" x14ac:dyDescent="0.25">
      <c r="A12" s="9" t="s">
        <v>9</v>
      </c>
      <c r="B12" s="10">
        <v>0</v>
      </c>
      <c r="C12" s="11">
        <v>0</v>
      </c>
      <c r="D12" s="11">
        <v>100</v>
      </c>
      <c r="E12" s="12">
        <v>0</v>
      </c>
      <c r="F12" s="8">
        <f>SUM(B12:E12)</f>
        <v>100</v>
      </c>
    </row>
    <row r="13" spans="1:9" x14ac:dyDescent="0.25">
      <c r="A13" s="9" t="s">
        <v>10</v>
      </c>
      <c r="B13" s="10">
        <v>50</v>
      </c>
      <c r="C13" s="11">
        <v>0</v>
      </c>
      <c r="D13" s="11">
        <v>99.999999999999986</v>
      </c>
      <c r="E13" s="12">
        <v>150</v>
      </c>
      <c r="F13" s="8">
        <f>SUM(B13:E13)</f>
        <v>300</v>
      </c>
    </row>
    <row r="14" spans="1:9" x14ac:dyDescent="0.25">
      <c r="A14" s="13" t="s">
        <v>11</v>
      </c>
      <c r="B14" s="14">
        <v>100</v>
      </c>
      <c r="C14" s="15">
        <v>100</v>
      </c>
      <c r="D14" s="15">
        <v>0</v>
      </c>
      <c r="E14" s="16">
        <v>0</v>
      </c>
      <c r="F14" s="8">
        <f>SUM(B14:E14)</f>
        <v>200</v>
      </c>
    </row>
    <row r="15" spans="1:9" x14ac:dyDescent="0.25">
      <c r="A15" t="s">
        <v>15</v>
      </c>
      <c r="B15" s="8">
        <f>SUM(B12:B14)</f>
        <v>150</v>
      </c>
      <c r="C15" s="8">
        <f>SUM(C12:C14)</f>
        <v>100</v>
      </c>
      <c r="D15" s="8">
        <f>SUM(D12:D14)</f>
        <v>200</v>
      </c>
      <c r="E15" s="8">
        <f>SUM(E12:E14)</f>
        <v>150</v>
      </c>
    </row>
  </sheetData>
  <mergeCells count="2">
    <mergeCell ref="C3:D3"/>
    <mergeCell ref="C10:D10"/>
  </mergeCells>
  <phoneticPr fontId="0" type="noConversion"/>
  <printOptions horizontalCentered="1" headings="1" gridLines="1"/>
  <pageMargins left="0.75" right="0.75" top="1" bottom="1" header="0.5" footer="0.5"/>
  <pageSetup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30"/>
  <sheetViews>
    <sheetView showGridLines="0" workbookViewId="0">
      <selection activeCell="D37" sqref="D37"/>
    </sheetView>
  </sheetViews>
  <sheetFormatPr defaultColWidth="9.109375" defaultRowHeight="13.2" x14ac:dyDescent="0.25"/>
  <cols>
    <col min="1" max="1" width="2.33203125" customWidth="1"/>
    <col min="2" max="2" width="6.33203125" bestFit="1" customWidth="1"/>
    <col min="3" max="3" width="16.33203125" bestFit="1" customWidth="1"/>
    <col min="4" max="4" width="13.109375" bestFit="1" customWidth="1"/>
    <col min="5" max="5" width="11.6640625" bestFit="1" customWidth="1"/>
    <col min="6" max="6" width="10.33203125" bestFit="1" customWidth="1"/>
    <col min="7" max="7" width="5.6640625" customWidth="1"/>
  </cols>
  <sheetData>
    <row r="1" spans="1:8" ht="13.8" thickBot="1" x14ac:dyDescent="0.3">
      <c r="A1" t="s">
        <v>16</v>
      </c>
    </row>
    <row r="2" spans="1:8" ht="13.8" thickBot="1" x14ac:dyDescent="0.3">
      <c r="B2" s="18" t="s">
        <v>17</v>
      </c>
      <c r="C2" s="18" t="s">
        <v>18</v>
      </c>
      <c r="D2" s="18" t="s">
        <v>19</v>
      </c>
      <c r="E2" s="18" t="s">
        <v>20</v>
      </c>
    </row>
    <row r="3" spans="1:8" ht="13.8" thickBot="1" x14ac:dyDescent="0.3">
      <c r="B3" s="17" t="s">
        <v>27</v>
      </c>
      <c r="C3" s="17" t="s">
        <v>28</v>
      </c>
      <c r="D3" s="20">
        <v>6250</v>
      </c>
      <c r="E3" s="20">
        <v>6250</v>
      </c>
    </row>
    <row r="4" spans="1:8" x14ac:dyDescent="0.25"/>
    <row r="6" spans="1:8" ht="13.8" thickBot="1" x14ac:dyDescent="0.3">
      <c r="A6" t="s">
        <v>21</v>
      </c>
    </row>
    <row r="7" spans="1:8" ht="13.8" thickBot="1" x14ac:dyDescent="0.3">
      <c r="B7" s="18" t="s">
        <v>17</v>
      </c>
      <c r="C7" s="18" t="s">
        <v>18</v>
      </c>
      <c r="D7" s="18" t="s">
        <v>19</v>
      </c>
      <c r="E7" s="18" t="s">
        <v>20</v>
      </c>
    </row>
    <row r="8" spans="1:8" x14ac:dyDescent="0.25">
      <c r="B8" s="19" t="s">
        <v>29</v>
      </c>
      <c r="C8" s="19" t="s">
        <v>30</v>
      </c>
      <c r="D8" s="21">
        <v>0</v>
      </c>
      <c r="E8" s="21">
        <v>0</v>
      </c>
    </row>
    <row r="9" spans="1:8" x14ac:dyDescent="0.25">
      <c r="B9" s="19" t="s">
        <v>31</v>
      </c>
      <c r="C9" s="19" t="s">
        <v>32</v>
      </c>
      <c r="D9" s="21">
        <v>0</v>
      </c>
      <c r="E9" s="21">
        <v>0</v>
      </c>
    </row>
    <row r="10" spans="1:8" x14ac:dyDescent="0.25">
      <c r="B10" s="19" t="s">
        <v>33</v>
      </c>
      <c r="C10" s="19" t="s">
        <v>34</v>
      </c>
      <c r="D10" s="21">
        <v>0</v>
      </c>
      <c r="E10" s="21">
        <v>100</v>
      </c>
    </row>
    <row r="11" spans="1:8" x14ac:dyDescent="0.25">
      <c r="B11" s="19" t="s">
        <v>35</v>
      </c>
      <c r="C11" s="19" t="s">
        <v>36</v>
      </c>
      <c r="D11" s="21">
        <v>0</v>
      </c>
      <c r="E11" s="21">
        <v>0</v>
      </c>
    </row>
    <row r="12" spans="1:8" x14ac:dyDescent="0.25">
      <c r="B12" s="19" t="s">
        <v>37</v>
      </c>
      <c r="C12" s="19" t="s">
        <v>38</v>
      </c>
      <c r="D12" s="21">
        <v>0</v>
      </c>
      <c r="E12" s="21">
        <v>50</v>
      </c>
    </row>
    <row r="13" spans="1:8" x14ac:dyDescent="0.25">
      <c r="B13" s="19" t="s">
        <v>39</v>
      </c>
      <c r="C13" s="19" t="s">
        <v>40</v>
      </c>
      <c r="D13" s="21">
        <v>0</v>
      </c>
      <c r="E13" s="21">
        <v>0</v>
      </c>
    </row>
    <row r="14" spans="1:8" x14ac:dyDescent="0.25">
      <c r="B14" s="19" t="s">
        <v>41</v>
      </c>
      <c r="C14" s="19" t="s">
        <v>42</v>
      </c>
      <c r="D14" s="21">
        <v>0</v>
      </c>
      <c r="E14" s="21">
        <v>100</v>
      </c>
    </row>
    <row r="15" spans="1:8" x14ac:dyDescent="0.25">
      <c r="B15" s="19" t="s">
        <v>43</v>
      </c>
      <c r="C15" s="19" t="s">
        <v>44</v>
      </c>
      <c r="D15" s="21">
        <v>0</v>
      </c>
      <c r="E15" s="21">
        <v>150</v>
      </c>
    </row>
    <row r="16" spans="1:8" x14ac:dyDescent="0.25">
      <c r="B16" s="19" t="s">
        <v>45</v>
      </c>
      <c r="C16" s="19" t="s">
        <v>46</v>
      </c>
      <c r="D16" s="21">
        <v>0</v>
      </c>
      <c r="E16" s="21">
        <v>100</v>
      </c>
    </row>
    <row r="17" spans="1:7" x14ac:dyDescent="0.25">
      <c r="B17" s="19" t="s">
        <v>47</v>
      </c>
      <c r="C17" s="19" t="s">
        <v>48</v>
      </c>
      <c r="D17" s="21">
        <v>0</v>
      </c>
      <c r="E17" s="21">
        <v>100</v>
      </c>
    </row>
    <row r="18" spans="1:7" x14ac:dyDescent="0.25">
      <c r="B18" s="19" t="s">
        <v>49</v>
      </c>
      <c r="C18" s="19" t="s">
        <v>50</v>
      </c>
      <c r="D18" s="21">
        <v>0</v>
      </c>
      <c r="E18" s="21">
        <v>0</v>
      </c>
    </row>
    <row r="19" spans="1:7" ht="13.8" thickBot="1" x14ac:dyDescent="0.3">
      <c r="B19" s="17" t="s">
        <v>51</v>
      </c>
      <c r="C19" s="17" t="s">
        <v>52</v>
      </c>
      <c r="D19" s="22">
        <v>0</v>
      </c>
      <c r="E19" s="22">
        <v>0</v>
      </c>
    </row>
    <row r="22" spans="1:7" ht="13.8" thickBot="1" x14ac:dyDescent="0.3">
      <c r="A22" t="s">
        <v>22</v>
      </c>
    </row>
    <row r="23" spans="1:7" ht="13.8" thickBot="1" x14ac:dyDescent="0.3">
      <c r="B23" s="18" t="s">
        <v>17</v>
      </c>
      <c r="C23" s="18" t="s">
        <v>18</v>
      </c>
      <c r="D23" s="18" t="s">
        <v>23</v>
      </c>
      <c r="E23" s="18" t="s">
        <v>24</v>
      </c>
      <c r="F23" s="18" t="s">
        <v>25</v>
      </c>
      <c r="G23" s="18" t="s">
        <v>26</v>
      </c>
    </row>
    <row r="24" spans="1:7" x14ac:dyDescent="0.25">
      <c r="B24" s="19" t="s">
        <v>53</v>
      </c>
      <c r="C24" s="19" t="s">
        <v>54</v>
      </c>
      <c r="D24" s="21">
        <v>100</v>
      </c>
      <c r="E24" s="19" t="s">
        <v>55</v>
      </c>
      <c r="F24" s="19" t="s">
        <v>56</v>
      </c>
      <c r="G24" s="19">
        <v>0</v>
      </c>
    </row>
    <row r="25" spans="1:7" x14ac:dyDescent="0.25">
      <c r="B25" s="19" t="s">
        <v>57</v>
      </c>
      <c r="C25" s="19" t="s">
        <v>58</v>
      </c>
      <c r="D25" s="21">
        <v>300</v>
      </c>
      <c r="E25" s="19" t="s">
        <v>59</v>
      </c>
      <c r="F25" s="19" t="s">
        <v>56</v>
      </c>
      <c r="G25" s="19">
        <v>0</v>
      </c>
    </row>
    <row r="26" spans="1:7" x14ac:dyDescent="0.25">
      <c r="B26" s="19" t="s">
        <v>60</v>
      </c>
      <c r="C26" s="19" t="s">
        <v>61</v>
      </c>
      <c r="D26" s="21">
        <v>200</v>
      </c>
      <c r="E26" s="19" t="s">
        <v>62</v>
      </c>
      <c r="F26" s="19" t="s">
        <v>63</v>
      </c>
      <c r="G26" s="19">
        <v>0</v>
      </c>
    </row>
    <row r="27" spans="1:7" x14ac:dyDescent="0.25">
      <c r="B27" s="19" t="s">
        <v>64</v>
      </c>
      <c r="C27" s="19" t="s">
        <v>65</v>
      </c>
      <c r="D27" s="21">
        <v>150</v>
      </c>
      <c r="E27" s="19" t="s">
        <v>66</v>
      </c>
      <c r="F27" s="19" t="s">
        <v>63</v>
      </c>
      <c r="G27" s="19">
        <v>0</v>
      </c>
    </row>
    <row r="28" spans="1:7" x14ac:dyDescent="0.25">
      <c r="B28" s="19" t="s">
        <v>67</v>
      </c>
      <c r="C28" s="19" t="s">
        <v>68</v>
      </c>
      <c r="D28" s="21">
        <v>100</v>
      </c>
      <c r="E28" s="19" t="s">
        <v>69</v>
      </c>
      <c r="F28" s="19" t="s">
        <v>63</v>
      </c>
      <c r="G28" s="19">
        <v>0</v>
      </c>
    </row>
    <row r="29" spans="1:7" x14ac:dyDescent="0.25">
      <c r="B29" s="19" t="s">
        <v>70</v>
      </c>
      <c r="C29" s="19" t="s">
        <v>71</v>
      </c>
      <c r="D29" s="21">
        <v>200</v>
      </c>
      <c r="E29" s="19" t="s">
        <v>72</v>
      </c>
      <c r="F29" s="19" t="s">
        <v>63</v>
      </c>
      <c r="G29" s="19">
        <v>0</v>
      </c>
    </row>
    <row r="30" spans="1:7" ht="13.8" thickBot="1" x14ac:dyDescent="0.3">
      <c r="B30" s="17" t="s">
        <v>73</v>
      </c>
      <c r="C30" s="17" t="s">
        <v>74</v>
      </c>
      <c r="D30" s="22">
        <v>150</v>
      </c>
      <c r="E30" s="17" t="s">
        <v>75</v>
      </c>
      <c r="F30" s="17" t="s">
        <v>63</v>
      </c>
      <c r="G30" s="17">
        <v>0</v>
      </c>
    </row>
  </sheetData>
  <phoneticPr fontId="0" type="noConversion"/>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L20"/>
  <sheetViews>
    <sheetView tabSelected="1" workbookViewId="0"/>
  </sheetViews>
  <sheetFormatPr defaultRowHeight="13.2" x14ac:dyDescent="0.25"/>
  <cols>
    <col min="1" max="1" width="5.44140625" customWidth="1"/>
    <col min="2" max="2" width="5.109375" customWidth="1"/>
    <col min="3" max="3" width="2.5546875" style="8" customWidth="1"/>
    <col min="4" max="4" width="12.109375" customWidth="1"/>
    <col min="5" max="5" width="3.109375" style="8" customWidth="1"/>
    <col min="6" max="6" width="10.109375" customWidth="1"/>
    <col min="7" max="7" width="9" style="8" customWidth="1"/>
    <col min="8" max="8" width="7" customWidth="1"/>
    <col min="9" max="9" width="3.33203125" style="8" customWidth="1"/>
    <col min="10" max="10" width="12.109375" customWidth="1"/>
    <col min="11" max="11" width="9" customWidth="1"/>
    <col min="12" max="12" width="15.44140625" style="8" customWidth="1"/>
  </cols>
  <sheetData>
    <row r="2" spans="2:12" x14ac:dyDescent="0.25">
      <c r="G2" s="24"/>
    </row>
    <row r="4" spans="2:12" x14ac:dyDescent="0.25">
      <c r="B4" s="8"/>
      <c r="G4" s="25"/>
    </row>
    <row r="5" spans="2:12" ht="13.8" thickBot="1" x14ac:dyDescent="0.3">
      <c r="B5" s="26" t="s">
        <v>76</v>
      </c>
      <c r="C5" s="27" t="s">
        <v>77</v>
      </c>
      <c r="D5" s="27"/>
      <c r="E5" s="27" t="s">
        <v>78</v>
      </c>
      <c r="F5" s="28"/>
      <c r="G5" s="26" t="s">
        <v>79</v>
      </c>
      <c r="I5" s="27" t="s">
        <v>80</v>
      </c>
      <c r="J5" s="29"/>
      <c r="K5" s="26" t="s">
        <v>81</v>
      </c>
      <c r="L5" s="26" t="s">
        <v>82</v>
      </c>
    </row>
    <row r="6" spans="2:12" x14ac:dyDescent="0.25">
      <c r="B6" s="30">
        <v>0</v>
      </c>
      <c r="C6" s="25">
        <v>1</v>
      </c>
      <c r="D6" s="31" t="str">
        <f>VLOOKUP(C6,$I$6:$J$12,2,0)</f>
        <v>Juarez</v>
      </c>
      <c r="E6" s="25">
        <v>4</v>
      </c>
      <c r="F6" s="31" t="str">
        <f>VLOOKUP(E6,$I$6:$J$12,2,0)</f>
        <v>Frankfurt</v>
      </c>
      <c r="G6" s="32">
        <v>19</v>
      </c>
      <c r="I6" s="25">
        <v>1</v>
      </c>
      <c r="J6" s="33" t="s">
        <v>9</v>
      </c>
      <c r="K6" s="34">
        <f t="shared" ref="K6:K12" si="0">SUMIF($E$6:$E$17,I6,$B$6:$B$17)-SUMIF($C$6:$C$17,I6,$B$6:$B$17)</f>
        <v>-99.999999999883016</v>
      </c>
      <c r="L6" s="25">
        <v>-100</v>
      </c>
    </row>
    <row r="7" spans="2:12" x14ac:dyDescent="0.25">
      <c r="B7" s="30">
        <v>0</v>
      </c>
      <c r="C7" s="25">
        <v>1</v>
      </c>
      <c r="D7" s="31" t="str">
        <f t="shared" ref="D7:D17" si="1">VLOOKUP(C7,$I$6:$J$12,2,0)</f>
        <v>Juarez</v>
      </c>
      <c r="E7" s="25">
        <v>5</v>
      </c>
      <c r="F7" s="31" t="str">
        <f t="shared" ref="F7:F17" si="2">VLOOKUP(E7,$I$6:$J$12,2,0)</f>
        <v>New York</v>
      </c>
      <c r="G7" s="32">
        <v>7</v>
      </c>
      <c r="I7" s="25">
        <v>2</v>
      </c>
      <c r="J7" s="33" t="s">
        <v>10</v>
      </c>
      <c r="K7" s="34">
        <f t="shared" si="0"/>
        <v>-299.99999999844101</v>
      </c>
      <c r="L7" s="25">
        <v>-300</v>
      </c>
    </row>
    <row r="8" spans="2:12" x14ac:dyDescent="0.25">
      <c r="B8" s="30">
        <v>99.999999999883016</v>
      </c>
      <c r="C8" s="25">
        <v>1</v>
      </c>
      <c r="D8" s="31" t="str">
        <f t="shared" si="1"/>
        <v>Juarez</v>
      </c>
      <c r="E8" s="25">
        <v>6</v>
      </c>
      <c r="F8" s="31" t="str">
        <f t="shared" si="2"/>
        <v>Phoenix</v>
      </c>
      <c r="G8" s="32">
        <v>3</v>
      </c>
      <c r="I8" s="25">
        <v>3</v>
      </c>
      <c r="J8" s="33" t="s">
        <v>11</v>
      </c>
      <c r="K8" s="34">
        <f t="shared" si="0"/>
        <v>-199.99999999999997</v>
      </c>
      <c r="L8" s="25">
        <v>-200</v>
      </c>
    </row>
    <row r="9" spans="2:12" x14ac:dyDescent="0.25">
      <c r="B9" s="30">
        <v>0</v>
      </c>
      <c r="C9" s="25">
        <v>1</v>
      </c>
      <c r="D9" s="31" t="str">
        <f t="shared" si="1"/>
        <v>Juarez</v>
      </c>
      <c r="E9" s="25">
        <v>7</v>
      </c>
      <c r="F9" s="31" t="str">
        <f t="shared" si="2"/>
        <v>Yokohama</v>
      </c>
      <c r="G9" s="32">
        <v>21</v>
      </c>
      <c r="I9" s="25">
        <v>4</v>
      </c>
      <c r="J9" s="33" t="s">
        <v>4</v>
      </c>
      <c r="K9" s="34">
        <f t="shared" si="0"/>
        <v>149.99999999971575</v>
      </c>
      <c r="L9" s="25">
        <v>150</v>
      </c>
    </row>
    <row r="10" spans="2:12" x14ac:dyDescent="0.25">
      <c r="B10" s="30">
        <v>49.999999999728381</v>
      </c>
      <c r="C10" s="25">
        <v>2</v>
      </c>
      <c r="D10" s="31" t="str">
        <f t="shared" si="1"/>
        <v>Seoul</v>
      </c>
      <c r="E10" s="25">
        <v>4</v>
      </c>
      <c r="F10" s="31" t="str">
        <f t="shared" si="2"/>
        <v>Frankfurt</v>
      </c>
      <c r="G10" s="32">
        <v>15</v>
      </c>
      <c r="I10" s="25">
        <v>5</v>
      </c>
      <c r="J10" s="33" t="s">
        <v>5</v>
      </c>
      <c r="K10" s="34">
        <f t="shared" si="0"/>
        <v>100.00000000001259</v>
      </c>
      <c r="L10" s="25">
        <v>100</v>
      </c>
    </row>
    <row r="11" spans="2:12" x14ac:dyDescent="0.25">
      <c r="B11" s="30">
        <v>0</v>
      </c>
      <c r="C11" s="25">
        <v>2</v>
      </c>
      <c r="D11" s="31" t="str">
        <f t="shared" si="1"/>
        <v>Seoul</v>
      </c>
      <c r="E11" s="25">
        <v>5</v>
      </c>
      <c r="F11" s="31" t="str">
        <f t="shared" si="2"/>
        <v>New York</v>
      </c>
      <c r="G11" s="32">
        <v>21</v>
      </c>
      <c r="I11" s="25">
        <v>6</v>
      </c>
      <c r="J11" s="33" t="s">
        <v>6</v>
      </c>
      <c r="K11" s="34">
        <f t="shared" si="0"/>
        <v>199.99999999859565</v>
      </c>
      <c r="L11" s="25">
        <v>200</v>
      </c>
    </row>
    <row r="12" spans="2:12" ht="13.8" thickBot="1" x14ac:dyDescent="0.3">
      <c r="B12" s="30">
        <v>99.999999998712639</v>
      </c>
      <c r="C12" s="25">
        <v>2</v>
      </c>
      <c r="D12" s="31" t="str">
        <f t="shared" si="1"/>
        <v>Seoul</v>
      </c>
      <c r="E12" s="25">
        <v>6</v>
      </c>
      <c r="F12" s="31" t="str">
        <f t="shared" si="2"/>
        <v>Phoenix</v>
      </c>
      <c r="G12" s="32">
        <v>18</v>
      </c>
      <c r="I12" s="26">
        <v>7</v>
      </c>
      <c r="J12" s="28" t="s">
        <v>7</v>
      </c>
      <c r="K12" s="35">
        <f t="shared" si="0"/>
        <v>150</v>
      </c>
      <c r="L12" s="26">
        <v>150</v>
      </c>
    </row>
    <row r="13" spans="2:12" x14ac:dyDescent="0.25">
      <c r="B13" s="30">
        <v>150</v>
      </c>
      <c r="C13" s="25">
        <v>2</v>
      </c>
      <c r="D13" s="31" t="str">
        <f t="shared" si="1"/>
        <v>Seoul</v>
      </c>
      <c r="E13" s="25">
        <v>7</v>
      </c>
      <c r="F13" s="31" t="str">
        <f t="shared" si="2"/>
        <v>Yokohama</v>
      </c>
      <c r="G13" s="32">
        <v>6</v>
      </c>
      <c r="I13" s="36"/>
      <c r="J13" s="37"/>
      <c r="K13" s="38"/>
      <c r="L13" s="36"/>
    </row>
    <row r="14" spans="2:12" x14ac:dyDescent="0.25">
      <c r="B14" s="30">
        <v>99.999999999987381</v>
      </c>
      <c r="C14" s="25">
        <v>3</v>
      </c>
      <c r="D14" s="31" t="str">
        <f t="shared" si="1"/>
        <v>Tel Aviv</v>
      </c>
      <c r="E14" s="25">
        <v>4</v>
      </c>
      <c r="F14" s="31" t="str">
        <f t="shared" si="2"/>
        <v>Frankfurt</v>
      </c>
      <c r="G14" s="32">
        <v>11</v>
      </c>
    </row>
    <row r="15" spans="2:12" x14ac:dyDescent="0.25">
      <c r="B15" s="30">
        <v>100.00000000001259</v>
      </c>
      <c r="C15" s="25">
        <v>3</v>
      </c>
      <c r="D15" s="31" t="str">
        <f t="shared" si="1"/>
        <v>Tel Aviv</v>
      </c>
      <c r="E15" s="25">
        <v>5</v>
      </c>
      <c r="F15" s="31" t="str">
        <f t="shared" si="2"/>
        <v>New York</v>
      </c>
      <c r="G15" s="32">
        <v>14</v>
      </c>
    </row>
    <row r="16" spans="2:12" x14ac:dyDescent="0.25">
      <c r="B16" s="39">
        <v>0</v>
      </c>
      <c r="C16" s="25">
        <v>3</v>
      </c>
      <c r="D16" s="31" t="str">
        <f t="shared" si="1"/>
        <v>Tel Aviv</v>
      </c>
      <c r="E16" s="25">
        <v>6</v>
      </c>
      <c r="F16" s="31" t="str">
        <f t="shared" si="2"/>
        <v>Phoenix</v>
      </c>
      <c r="G16" s="32">
        <v>15</v>
      </c>
    </row>
    <row r="17" spans="2:7" ht="13.8" thickBot="1" x14ac:dyDescent="0.3">
      <c r="B17" s="39">
        <v>0</v>
      </c>
      <c r="C17" s="26">
        <v>3</v>
      </c>
      <c r="D17" s="40" t="str">
        <f t="shared" si="1"/>
        <v>Tel Aviv</v>
      </c>
      <c r="E17" s="26">
        <v>7</v>
      </c>
      <c r="F17" s="40" t="str">
        <f t="shared" si="2"/>
        <v>Yokohama</v>
      </c>
      <c r="G17" s="41">
        <v>22</v>
      </c>
    </row>
    <row r="18" spans="2:7" ht="13.8" thickBot="1" x14ac:dyDescent="0.3">
      <c r="B18" s="42"/>
      <c r="C18" s="11"/>
      <c r="D18" s="43"/>
      <c r="E18" s="11"/>
      <c r="F18" s="43"/>
      <c r="G18" s="44"/>
    </row>
    <row r="19" spans="2:7" ht="14.4" thickTop="1" thickBot="1" x14ac:dyDescent="0.3">
      <c r="B19" s="8"/>
      <c r="F19" s="45" t="s">
        <v>83</v>
      </c>
      <c r="G19" s="46">
        <f>SUMPRODUCT(B6:B17,G6:G17)</f>
        <v>6249.9999999724405</v>
      </c>
    </row>
    <row r="20" spans="2:7" ht="13.8" thickTop="1" x14ac:dyDescent="0.25">
      <c r="B20" s="8"/>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Ski-ShipmentSchedule - Method 1</vt:lpstr>
      <vt:lpstr>Answer Report</vt:lpstr>
      <vt:lpstr>Ski-ShipmentSchedule - Meth II</vt:lpstr>
      <vt:lpstr>'Ski-ShipmentSchedule - Method 1'!Print_Area</vt:lpstr>
    </vt:vector>
  </TitlesOfParts>
  <Company>Dell Computer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D. Whisler</dc:creator>
  <cp:lastModifiedBy>Poh Lim</cp:lastModifiedBy>
  <dcterms:created xsi:type="dcterms:W3CDTF">2000-09-03T02:23:32Z</dcterms:created>
  <dcterms:modified xsi:type="dcterms:W3CDTF">2018-08-31T04:30:04Z</dcterms:modified>
</cp:coreProperties>
</file>