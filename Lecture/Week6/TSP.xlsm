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ad.monash.edu\home\User081\phlee\Documents\2018\FIT3158\Lecture\Week 6\"/>
    </mc:Choice>
  </mc:AlternateContent>
  <bookViews>
    <workbookView xWindow="360" yWindow="120" windowWidth="11292" windowHeight="6756" firstSheet="1" activeTab="2"/>
  </bookViews>
  <sheets>
    <sheet name="Sheet1" sheetId="6" state="hidden" r:id="rId1"/>
    <sheet name="Drill Bit Tour" sheetId="8" r:id="rId2"/>
    <sheet name="salesman" sheetId="9" r:id="rId3"/>
  </sheets>
  <definedNames>
    <definedName name="solver_adj" localSheetId="1" hidden="1">'Drill Bit Tour'!$F$18:$F$25</definedName>
    <definedName name="solver_adj" localSheetId="2" hidden="1">salesman!$D$14:$D$17</definedName>
    <definedName name="solver_cvg" localSheetId="1" hidden="1">0.0001</definedName>
    <definedName name="solver_cvg" localSheetId="2" hidden="1">0.0001</definedName>
    <definedName name="solver_drv" localSheetId="1" hidden="1">1</definedName>
    <definedName name="solver_drv" localSheetId="2" hidden="1">1</definedName>
    <definedName name="solver_eng" localSheetId="1" hidden="1">3</definedName>
    <definedName name="solver_eng" localSheetId="2" hidden="1">3</definedName>
    <definedName name="solver_est" localSheetId="1" hidden="1">1</definedName>
    <definedName name="solver_est" localSheetId="2" hidden="1">1</definedName>
    <definedName name="solver_ibd" localSheetId="1" hidden="1">2</definedName>
    <definedName name="solver_ibd" localSheetId="2" hidden="1">2</definedName>
    <definedName name="solver_itr" localSheetId="1" hidden="1">1000</definedName>
    <definedName name="solver_itr" localSheetId="2" hidden="1">1000</definedName>
    <definedName name="solver_lhs1" localSheetId="1" hidden="1">'Drill Bit Tour'!$F$18:$F$25</definedName>
    <definedName name="solver_lhs1" localSheetId="2" hidden="1">salesman!$D$14:$D$17</definedName>
    <definedName name="solver_lhs2" localSheetId="1" hidden="1">'Drill Bit Tour'!$E$18:$E$26</definedName>
    <definedName name="solver_lhs2" localSheetId="2" hidden="1">salesman!$D$18</definedName>
    <definedName name="solver_lhs3" localSheetId="1" hidden="1">'Drill Bit Tour'!$F$18:$F$25</definedName>
    <definedName name="solver_lhs3" localSheetId="2" hidden="1">salesman!$D$14:$D$18</definedName>
    <definedName name="solver_lhs4" localSheetId="1" hidden="1">'Drill Bit Tour'!$I$16</definedName>
    <definedName name="solver_lhs4" localSheetId="2" hidden="1">salesman!#REF!</definedName>
    <definedName name="solver_lin" localSheetId="1" hidden="1">2</definedName>
    <definedName name="solver_lin" localSheetId="2" hidden="1">2</definedName>
    <definedName name="solver_loc" localSheetId="1" hidden="1">1</definedName>
    <definedName name="solver_loc" localSheetId="2" hidden="1">1</definedName>
    <definedName name="solver_lva" localSheetId="1" hidden="1">2</definedName>
    <definedName name="solver_lva" localSheetId="2" hidden="1">2</definedName>
    <definedName name="solver_mip" localSheetId="1" hidden="1">5000</definedName>
    <definedName name="solver_mip" localSheetId="2" hidden="1">5000</definedName>
    <definedName name="solver_mni" localSheetId="1" hidden="1">30</definedName>
    <definedName name="solver_mni" localSheetId="2" hidden="1">30</definedName>
    <definedName name="solver_mrt" localSheetId="1" hidden="1">0.075</definedName>
    <definedName name="solver_mrt" localSheetId="2" hidden="1">0.075</definedName>
    <definedName name="solver_msl" localSheetId="1" hidden="1">2</definedName>
    <definedName name="solver_msl" localSheetId="2" hidden="1">2</definedName>
    <definedName name="solver_neg" localSheetId="1" hidden="1">1</definedName>
    <definedName name="solver_neg" localSheetId="2" hidden="1">2</definedName>
    <definedName name="solver_nod" localSheetId="1" hidden="1">5000</definedName>
    <definedName name="solver_nod" localSheetId="2" hidden="1">5000</definedName>
    <definedName name="solver_num" localSheetId="1" hidden="1">1</definedName>
    <definedName name="solver_num" localSheetId="2" hidden="1">1</definedName>
    <definedName name="solver_nwt" localSheetId="1" hidden="1">1</definedName>
    <definedName name="solver_nwt" localSheetId="2" hidden="1">1</definedName>
    <definedName name="solver_ofx" localSheetId="1" hidden="1">2</definedName>
    <definedName name="solver_ofx" localSheetId="2" hidden="1">2</definedName>
    <definedName name="solver_opt" localSheetId="1" hidden="1">'Drill Bit Tour'!$G$27</definedName>
    <definedName name="solver_opt" localSheetId="2" hidden="1">salesman!$F$19</definedName>
    <definedName name="solver_pre" localSheetId="1" hidden="1">0.000001</definedName>
    <definedName name="solver_pre" localSheetId="2" hidden="1">0.000001</definedName>
    <definedName name="solver_pro" localSheetId="1" hidden="1">2</definedName>
    <definedName name="solver_pro" localSheetId="2" hidden="1">2</definedName>
    <definedName name="solver_rbv" localSheetId="1" hidden="1">1</definedName>
    <definedName name="solver_rbv" localSheetId="2" hidden="1">1</definedName>
    <definedName name="solver_rel1" localSheetId="1" hidden="1">6</definedName>
    <definedName name="solver_rel1" localSheetId="2" hidden="1">6</definedName>
    <definedName name="solver_rel2" localSheetId="1" hidden="1">6</definedName>
    <definedName name="solver_rel2" localSheetId="2" hidden="1">2</definedName>
    <definedName name="solver_rel3" localSheetId="1" hidden="1">3</definedName>
    <definedName name="solver_rel3" localSheetId="2" hidden="1">3</definedName>
    <definedName name="solver_rel4" localSheetId="1" hidden="1">2</definedName>
    <definedName name="solver_rel4" localSheetId="2" hidden="1">2</definedName>
    <definedName name="solver_reo" localSheetId="1" hidden="1">2</definedName>
    <definedName name="solver_reo" localSheetId="2" hidden="1">2</definedName>
    <definedName name="solver_rep" localSheetId="1" hidden="1">2</definedName>
    <definedName name="solver_rep" localSheetId="2" hidden="1">2</definedName>
    <definedName name="solver_rhs1" localSheetId="1" hidden="1">alldifferent</definedName>
    <definedName name="solver_rhs1" localSheetId="2" hidden="1">alldifferent</definedName>
    <definedName name="solver_rhs2" localSheetId="1" hidden="1">alldifferent</definedName>
    <definedName name="solver_rhs2" localSheetId="2" hidden="1">0</definedName>
    <definedName name="solver_rhs3" localSheetId="1" hidden="1">1</definedName>
    <definedName name="solver_rhs3" localSheetId="2" hidden="1">1</definedName>
    <definedName name="solver_rhs4" localSheetId="1" hidden="1">9</definedName>
    <definedName name="solver_rhs4" localSheetId="2" hidden="1">9</definedName>
    <definedName name="solver_rlx" localSheetId="1" hidden="1">2</definedName>
    <definedName name="solver_rlx" localSheetId="2" hidden="1">2</definedName>
    <definedName name="solver_rsd" localSheetId="1" hidden="1">0</definedName>
    <definedName name="solver_rsd" localSheetId="2" hidden="1">0</definedName>
    <definedName name="solver_scl" localSheetId="1" hidden="1">2</definedName>
    <definedName name="solver_scl" localSheetId="2" hidden="1">2</definedName>
    <definedName name="solver_sho" localSheetId="1" hidden="1">2</definedName>
    <definedName name="solver_sho" localSheetId="2" hidden="1">2</definedName>
    <definedName name="solver_ssz" localSheetId="1" hidden="1">100</definedName>
    <definedName name="solver_ssz" localSheetId="2" hidden="1">100</definedName>
    <definedName name="solver_std" localSheetId="1" hidden="1">0</definedName>
    <definedName name="solver_std" localSheetId="2" hidden="1">0</definedName>
    <definedName name="solver_tim" localSheetId="1" hidden="1">100</definedName>
    <definedName name="solver_tim" localSheetId="2" hidden="1">100</definedName>
    <definedName name="solver_tol" localSheetId="1" hidden="1">0</definedName>
    <definedName name="solver_tol" localSheetId="2" hidden="1">0</definedName>
    <definedName name="solver_typ" localSheetId="1" hidden="1">2</definedName>
    <definedName name="solver_typ" localSheetId="2" hidden="1">2</definedName>
    <definedName name="solver_val" localSheetId="1" hidden="1">0</definedName>
    <definedName name="solver_val" localSheetId="2" hidden="1">0</definedName>
    <definedName name="solver_ver" localSheetId="1" hidden="1">3</definedName>
    <definedName name="solver_ver" localSheetId="2" hidden="1">3</definedName>
  </definedNames>
  <calcPr calcId="162913"/>
</workbook>
</file>

<file path=xl/calcChain.xml><?xml version="1.0" encoding="utf-8"?>
<calcChain xmlns="http://schemas.openxmlformats.org/spreadsheetml/2006/main">
  <c r="E15" i="9" l="1"/>
  <c r="E16" i="9"/>
  <c r="E17" i="9"/>
  <c r="E18" i="9"/>
  <c r="E14" i="9"/>
  <c r="F14" i="9"/>
  <c r="B15" i="9"/>
  <c r="C15" i="9" s="1"/>
  <c r="G27" i="8"/>
  <c r="B6" i="9" l="1" a="1"/>
  <c r="B6" i="9" s="1"/>
  <c r="C14" i="9" s="1"/>
  <c r="B18" i="9"/>
  <c r="B17" i="9"/>
  <c r="B16" i="9"/>
  <c r="F15" i="9"/>
  <c r="E19" i="8"/>
  <c r="G19" i="8" s="1"/>
  <c r="E20" i="8"/>
  <c r="G20" i="8" s="1"/>
  <c r="E21" i="8"/>
  <c r="G21" i="8" s="1"/>
  <c r="E22" i="8"/>
  <c r="G22" i="8" s="1"/>
  <c r="E23" i="8"/>
  <c r="G23" i="8" s="1"/>
  <c r="E24" i="8"/>
  <c r="G24" i="8" s="1"/>
  <c r="E25" i="8"/>
  <c r="G25" i="8" s="1"/>
  <c r="E26" i="8"/>
  <c r="G26" i="8" s="1"/>
  <c r="G18" i="8"/>
  <c r="F16" i="9" l="1"/>
  <c r="C16" i="9"/>
  <c r="F17" i="9"/>
  <c r="C17" i="9"/>
  <c r="F18" i="9"/>
  <c r="B10" i="9"/>
  <c r="B9" i="9"/>
  <c r="C18" i="9" s="1"/>
  <c r="B8" i="9"/>
  <c r="B7" i="9"/>
  <c r="F19" i="9" l="1"/>
</calcChain>
</file>

<file path=xl/comments1.xml><?xml version="1.0" encoding="utf-8"?>
<comments xmlns="http://schemas.openxmlformats.org/spreadsheetml/2006/main">
  <authors>
    <author>Cliff Ragsdale</author>
  </authors>
  <commentList>
    <comment ref="B8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B9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B10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B11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B12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B13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B14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B15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</commentList>
</comments>
</file>

<file path=xl/comments2.xml><?xml version="1.0" encoding="utf-8"?>
<comments xmlns="http://schemas.openxmlformats.org/spreadsheetml/2006/main">
  <authors>
    <author>Cliff Ragsdale</author>
  </authors>
  <commentList>
    <comment ref="F18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F19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F20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F21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F22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F23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F24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F25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G27" authorId="0" shapeId="0">
      <text>
        <r>
          <rPr>
            <b/>
            <sz val="8"/>
            <color indexed="81"/>
            <rFont val="Tahoma"/>
            <family val="2"/>
          </rPr>
          <t>Set cell</t>
        </r>
      </text>
    </comment>
  </commentList>
</comments>
</file>

<file path=xl/comments3.xml><?xml version="1.0" encoding="utf-8"?>
<comments xmlns="http://schemas.openxmlformats.org/spreadsheetml/2006/main">
  <authors>
    <author>Cliff Ragsdale</author>
  </authors>
  <commentList>
    <comment ref="D14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D15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D16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D17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D18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F19" authorId="0" shapeId="0">
      <text>
        <r>
          <rPr>
            <b/>
            <sz val="8"/>
            <color indexed="81"/>
            <rFont val="Tahoma"/>
            <family val="2"/>
          </rPr>
          <t>Set cell</t>
        </r>
      </text>
    </comment>
  </commentList>
</comments>
</file>

<file path=xl/sharedStrings.xml><?xml version="1.0" encoding="utf-8"?>
<sst xmlns="http://schemas.openxmlformats.org/spreadsheetml/2006/main" count="17" uniqueCount="10">
  <si>
    <t>From</t>
  </si>
  <si>
    <t>To</t>
  </si>
  <si>
    <t>From\To</t>
  </si>
  <si>
    <t>Distance</t>
  </si>
  <si>
    <t xml:space="preserve">Tour Length </t>
  </si>
  <si>
    <t>A</t>
  </si>
  <si>
    <t>B</t>
  </si>
  <si>
    <t>C</t>
  </si>
  <si>
    <t>D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</si>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</sst>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0"/>
      <name val="Arial"/>
    </font>
    <font>
      <b/>
      <sz val="10"/>
      <name val="Arial"/>
      <family val="2"/>
    </font>
    <font>
      <b/>
      <sz val="10"/>
      <color indexed="17"/>
      <name val="Arial"/>
      <family val="2"/>
    </font>
    <font>
      <b/>
      <sz val="10"/>
      <color indexed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2" fontId="0" fillId="0" borderId="0" xfId="0" applyNumberFormat="1"/>
    <xf numFmtId="2" fontId="1" fillId="0" borderId="0" xfId="0" applyNumberFormat="1" applyFont="1" applyFill="1" applyBorder="1" applyAlignment="1">
      <alignment horizontal="center"/>
    </xf>
    <xf numFmtId="2" fontId="1" fillId="0" borderId="1" xfId="0" applyNumberFormat="1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0" xfId="0" applyFont="1"/>
    <xf numFmtId="2" fontId="0" fillId="0" borderId="0" xfId="0" applyNumberFormat="1" applyAlignment="1">
      <alignment horizontal="center"/>
    </xf>
    <xf numFmtId="0" fontId="0" fillId="0" borderId="3" xfId="0" applyBorder="1" applyAlignment="1">
      <alignment horizontal="center"/>
    </xf>
    <xf numFmtId="0" fontId="1" fillId="0" borderId="4" xfId="0" applyFont="1" applyBorder="1" applyAlignment="1">
      <alignment horizontal="right"/>
    </xf>
    <xf numFmtId="2" fontId="3" fillId="2" borderId="5" xfId="0" applyNumberFormat="1" applyFont="1" applyFill="1" applyBorder="1" applyAlignment="1">
      <alignment horizontal="center"/>
    </xf>
    <xf numFmtId="1" fontId="0" fillId="0" borderId="0" xfId="0" applyNumberFormat="1"/>
    <xf numFmtId="0" fontId="1" fillId="0" borderId="0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1" fillId="0" borderId="1" xfId="0" applyNumberFormat="1" applyFont="1" applyBorder="1" applyAlignment="1">
      <alignment horizontal="center"/>
    </xf>
    <xf numFmtId="0" fontId="7" fillId="0" borderId="0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DDDDDD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207645</xdr:colOff>
      <xdr:row>0</xdr:row>
      <xdr:rowOff>121920</xdr:rowOff>
    </xdr:from>
    <xdr:to>
      <xdr:col>8</xdr:col>
      <xdr:colOff>188595</xdr:colOff>
      <xdr:row>2</xdr:row>
      <xdr:rowOff>76113</xdr:rowOff>
    </xdr:to>
    <xdr:sp macro="[0]!Toggle" textlink="">
      <xdr:nvSpPr>
        <xdr:cNvPr id="7170" name="AutoShape 2"/>
        <xdr:cNvSpPr>
          <a:spLocks noChangeArrowheads="1"/>
        </xdr:cNvSpPr>
      </xdr:nvSpPr>
      <xdr:spPr bwMode="auto">
        <a:xfrm>
          <a:off x="2019300" y="114300"/>
          <a:ext cx="2847975" cy="285750"/>
        </a:xfrm>
        <a:prstGeom prst="roundRect">
          <a:avLst>
            <a:gd name="adj" fmla="val 16667"/>
          </a:avLst>
        </a:prstGeom>
        <a:solidFill>
          <a:srgbClr val="00FFFF"/>
        </a:solidFill>
        <a:ln w="9525">
          <a:solidFill>
            <a:srgbClr val="000000"/>
          </a:solidFill>
          <a:round/>
          <a:headEnd/>
          <a:tailEnd/>
        </a:ln>
        <a:effectLst>
          <a:outerShdw dist="71842" dir="2700000" algn="ctr" rotWithShape="0">
            <a:srgbClr val="808080"/>
          </a:outerShdw>
        </a:effec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AU" sz="1200" b="1" i="0" strike="noStrike">
              <a:solidFill>
                <a:srgbClr val="000000"/>
              </a:solidFill>
              <a:latin typeface="Arial"/>
              <a:cs typeface="Arial"/>
            </a:rPr>
            <a:t>Wolverine Manufacturing</a:t>
          </a:r>
        </a:p>
      </xdr:txBody>
    </xdr:sp>
    <xdr:clientData/>
  </xdr:twoCellAnchor>
  <xdr:twoCellAnchor>
    <xdr:from>
      <xdr:col>7</xdr:col>
      <xdr:colOff>455295</xdr:colOff>
      <xdr:row>16</xdr:row>
      <xdr:rowOff>131445</xdr:rowOff>
    </xdr:from>
    <xdr:to>
      <xdr:col>13</xdr:col>
      <xdr:colOff>76202</xdr:colOff>
      <xdr:row>19</xdr:row>
      <xdr:rowOff>140970</xdr:rowOff>
    </xdr:to>
    <xdr:sp macro="" textlink="">
      <xdr:nvSpPr>
        <xdr:cNvPr id="7180" name="Note" hidden="1"/>
        <xdr:cNvSpPr txBox="1">
          <a:spLocks noChangeArrowheads="1"/>
        </xdr:cNvSpPr>
      </xdr:nvSpPr>
      <xdr:spPr bwMode="auto">
        <a:xfrm>
          <a:off x="4562475" y="2733675"/>
          <a:ext cx="3133725" cy="504825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Minimize:    G27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By changing: E18:E26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Subject to:  E18:E26 alldifferent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207645</xdr:colOff>
      <xdr:row>0</xdr:row>
      <xdr:rowOff>121920</xdr:rowOff>
    </xdr:from>
    <xdr:to>
      <xdr:col>7</xdr:col>
      <xdr:colOff>13</xdr:colOff>
      <xdr:row>2</xdr:row>
      <xdr:rowOff>76113</xdr:rowOff>
    </xdr:to>
    <xdr:sp macro="[0]!Toggle" textlink="">
      <xdr:nvSpPr>
        <xdr:cNvPr id="2" name="AutoShape 2"/>
        <xdr:cNvSpPr>
          <a:spLocks noChangeArrowheads="1"/>
        </xdr:cNvSpPr>
      </xdr:nvSpPr>
      <xdr:spPr bwMode="auto">
        <a:xfrm>
          <a:off x="2019300" y="114300"/>
          <a:ext cx="2847975" cy="285750"/>
        </a:xfrm>
        <a:prstGeom prst="roundRect">
          <a:avLst>
            <a:gd name="adj" fmla="val 16667"/>
          </a:avLst>
        </a:prstGeom>
        <a:solidFill>
          <a:srgbClr val="00FFFF"/>
        </a:solidFill>
        <a:ln w="9525">
          <a:solidFill>
            <a:srgbClr val="000000"/>
          </a:solidFill>
          <a:round/>
          <a:headEnd/>
          <a:tailEnd/>
        </a:ln>
        <a:effectLst>
          <a:outerShdw dist="71842" dir="2700000" algn="ctr" rotWithShape="0">
            <a:srgbClr val="808080"/>
          </a:outerShdw>
        </a:effec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AU" sz="1200" b="1" i="0" strike="noStrike">
              <a:solidFill>
                <a:srgbClr val="000000"/>
              </a:solidFill>
              <a:latin typeface="Arial"/>
              <a:cs typeface="Arial"/>
            </a:rPr>
            <a:t>Travelling Salesman</a:t>
          </a:r>
        </a:p>
      </xdr:txBody>
    </xdr:sp>
    <xdr:clientData/>
  </xdr:twoCellAnchor>
  <xdr:twoCellAnchor>
    <xdr:from>
      <xdr:col>7</xdr:col>
      <xdr:colOff>110066</xdr:colOff>
      <xdr:row>12</xdr:row>
      <xdr:rowOff>156844</xdr:rowOff>
    </xdr:from>
    <xdr:to>
      <xdr:col>10</xdr:col>
      <xdr:colOff>205316</xdr:colOff>
      <xdr:row>16</xdr:row>
      <xdr:rowOff>85937</xdr:rowOff>
    </xdr:to>
    <xdr:sp macro="" textlink="">
      <xdr:nvSpPr>
        <xdr:cNvPr id="3" name="Note"/>
        <xdr:cNvSpPr txBox="1">
          <a:spLocks noChangeArrowheads="1"/>
        </xdr:cNvSpPr>
      </xdr:nvSpPr>
      <xdr:spPr bwMode="auto">
        <a:xfrm>
          <a:off x="4301066" y="2205777"/>
          <a:ext cx="1924050" cy="614893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Minimize:    F19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By changing: D14:D17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Subject to:  D14:D17 alldifferent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8:B15"/>
  <sheetViews>
    <sheetView workbookViewId="0">
      <selection activeCell="C14" sqref="C14"/>
    </sheetView>
  </sheetViews>
  <sheetFormatPr defaultRowHeight="13.2" x14ac:dyDescent="0.25"/>
  <sheetData>
    <row r="8" spans="2:2" x14ac:dyDescent="0.25">
      <c r="B8" s="6">
        <v>2</v>
      </c>
    </row>
    <row r="9" spans="2:2" x14ac:dyDescent="0.25">
      <c r="B9" s="6">
        <v>7</v>
      </c>
    </row>
    <row r="10" spans="2:2" x14ac:dyDescent="0.25">
      <c r="B10" s="6">
        <v>4</v>
      </c>
    </row>
    <row r="11" spans="2:2" x14ac:dyDescent="0.25">
      <c r="B11" s="6">
        <v>6</v>
      </c>
    </row>
    <row r="12" spans="2:2" x14ac:dyDescent="0.25">
      <c r="B12" s="6">
        <v>3</v>
      </c>
    </row>
    <row r="13" spans="2:2" x14ac:dyDescent="0.25">
      <c r="B13" s="6">
        <v>9</v>
      </c>
    </row>
    <row r="14" spans="2:2" x14ac:dyDescent="0.25">
      <c r="B14" s="6">
        <v>8</v>
      </c>
    </row>
    <row r="15" spans="2:2" x14ac:dyDescent="0.25">
      <c r="B15" s="6">
        <v>5</v>
      </c>
    </row>
  </sheetData>
  <phoneticPr fontId="6" type="noConversion"/>
  <pageMargins left="0.75" right="0.75" top="1" bottom="1" header="0.5" footer="0.5"/>
  <headerFooter alignWithMargins="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3:M38"/>
  <sheetViews>
    <sheetView zoomScale="90" workbookViewId="0">
      <selection activeCell="J33" sqref="J33"/>
    </sheetView>
  </sheetViews>
  <sheetFormatPr defaultRowHeight="13.2" x14ac:dyDescent="0.25"/>
  <cols>
    <col min="2" max="2" width="9.5546875" style="1" customWidth="1"/>
    <col min="3" max="5" width="8.5546875" customWidth="1"/>
    <col min="6" max="6" width="8.6640625" customWidth="1"/>
    <col min="7" max="11" width="8.5546875" customWidth="1"/>
  </cols>
  <sheetData>
    <row r="3" spans="2:11" x14ac:dyDescent="0.25">
      <c r="B3" s="11"/>
    </row>
    <row r="4" spans="2:11" x14ac:dyDescent="0.25">
      <c r="B4" s="17" t="s">
        <v>3</v>
      </c>
    </row>
    <row r="5" spans="2:11" ht="13.8" thickBot="1" x14ac:dyDescent="0.3">
      <c r="B5" s="18" t="s">
        <v>2</v>
      </c>
      <c r="C5" s="5">
        <v>0</v>
      </c>
      <c r="D5" s="5">
        <v>1</v>
      </c>
      <c r="E5" s="5">
        <v>2</v>
      </c>
      <c r="F5" s="5">
        <v>3</v>
      </c>
      <c r="G5" s="5">
        <v>4</v>
      </c>
      <c r="H5" s="5">
        <v>5</v>
      </c>
      <c r="I5" s="5">
        <v>6</v>
      </c>
      <c r="J5" s="5">
        <v>7</v>
      </c>
      <c r="K5" s="5">
        <v>8</v>
      </c>
    </row>
    <row r="6" spans="2:11" x14ac:dyDescent="0.25">
      <c r="B6" s="2">
        <v>0</v>
      </c>
      <c r="C6" s="8">
        <v>0</v>
      </c>
      <c r="D6" s="8">
        <v>5.83</v>
      </c>
      <c r="E6" s="8">
        <v>12.04</v>
      </c>
      <c r="F6" s="8">
        <v>11.7</v>
      </c>
      <c r="G6" s="8">
        <v>9.43</v>
      </c>
      <c r="H6" s="8">
        <v>10.82</v>
      </c>
      <c r="I6" s="8">
        <v>7.62</v>
      </c>
      <c r="J6" s="8">
        <v>13</v>
      </c>
      <c r="K6" s="8">
        <v>19.100000000000001</v>
      </c>
    </row>
    <row r="7" spans="2:11" x14ac:dyDescent="0.25">
      <c r="B7" s="2">
        <v>1</v>
      </c>
      <c r="C7" s="8">
        <v>5.83</v>
      </c>
      <c r="D7" s="8">
        <v>0</v>
      </c>
      <c r="E7" s="8">
        <v>6.4</v>
      </c>
      <c r="F7" s="8">
        <v>8.06</v>
      </c>
      <c r="G7" s="8">
        <v>3.61</v>
      </c>
      <c r="H7" s="8">
        <v>6.08</v>
      </c>
      <c r="I7" s="8">
        <v>4.47</v>
      </c>
      <c r="J7" s="8">
        <v>7.28</v>
      </c>
      <c r="K7" s="8">
        <v>13.45</v>
      </c>
    </row>
    <row r="8" spans="2:11" x14ac:dyDescent="0.25">
      <c r="B8" s="2">
        <v>2</v>
      </c>
      <c r="C8" s="8">
        <v>12.04</v>
      </c>
      <c r="D8" s="8">
        <v>6.4</v>
      </c>
      <c r="E8" s="8">
        <v>0</v>
      </c>
      <c r="F8" s="8">
        <v>5.83</v>
      </c>
      <c r="G8" s="8">
        <v>3.16</v>
      </c>
      <c r="H8" s="8">
        <v>3.16</v>
      </c>
      <c r="I8" s="8">
        <v>6.08</v>
      </c>
      <c r="J8" s="8">
        <v>4.24</v>
      </c>
      <c r="K8" s="8">
        <v>7.07</v>
      </c>
    </row>
    <row r="9" spans="2:11" x14ac:dyDescent="0.25">
      <c r="B9" s="2">
        <v>3</v>
      </c>
      <c r="C9" s="8">
        <v>11.7</v>
      </c>
      <c r="D9" s="8">
        <v>8.06</v>
      </c>
      <c r="E9" s="8">
        <v>5.83</v>
      </c>
      <c r="F9" s="8">
        <v>0</v>
      </c>
      <c r="G9" s="8">
        <v>7.21</v>
      </c>
      <c r="H9" s="8">
        <v>2.83</v>
      </c>
      <c r="I9" s="8">
        <v>4.12</v>
      </c>
      <c r="J9" s="8">
        <v>10</v>
      </c>
      <c r="K9" s="8">
        <v>10.199999999999999</v>
      </c>
    </row>
    <row r="10" spans="2:11" x14ac:dyDescent="0.25">
      <c r="B10" s="2">
        <v>4</v>
      </c>
      <c r="C10" s="8">
        <v>9.43</v>
      </c>
      <c r="D10" s="8">
        <v>3.61</v>
      </c>
      <c r="E10" s="8">
        <v>3.16</v>
      </c>
      <c r="F10" s="8">
        <v>7.21</v>
      </c>
      <c r="G10" s="8">
        <v>0</v>
      </c>
      <c r="H10" s="8">
        <v>4.47</v>
      </c>
      <c r="I10" s="8">
        <v>5.39</v>
      </c>
      <c r="J10" s="8">
        <v>4</v>
      </c>
      <c r="K10" s="8">
        <v>10</v>
      </c>
    </row>
    <row r="11" spans="2:11" x14ac:dyDescent="0.25">
      <c r="B11" s="2">
        <v>5</v>
      </c>
      <c r="C11" s="8">
        <v>10.82</v>
      </c>
      <c r="D11" s="8">
        <v>6.08</v>
      </c>
      <c r="E11" s="8">
        <v>3.16</v>
      </c>
      <c r="F11" s="8">
        <v>2.83</v>
      </c>
      <c r="G11" s="8">
        <v>4.47</v>
      </c>
      <c r="H11" s="8">
        <v>0</v>
      </c>
      <c r="I11" s="8">
        <v>3.61</v>
      </c>
      <c r="J11" s="8">
        <v>7.21</v>
      </c>
      <c r="K11" s="8">
        <v>8.94</v>
      </c>
    </row>
    <row r="12" spans="2:11" x14ac:dyDescent="0.25">
      <c r="B12" s="2">
        <v>6</v>
      </c>
      <c r="C12" s="8">
        <v>7.62</v>
      </c>
      <c r="D12" s="8">
        <v>4.47</v>
      </c>
      <c r="E12" s="8">
        <v>6.08</v>
      </c>
      <c r="F12" s="8">
        <v>4.12</v>
      </c>
      <c r="G12" s="8">
        <v>5.39</v>
      </c>
      <c r="H12" s="8">
        <v>3.61</v>
      </c>
      <c r="I12" s="8">
        <v>0</v>
      </c>
      <c r="J12" s="8">
        <v>9.2200000000000006</v>
      </c>
      <c r="K12" s="8">
        <v>12.53</v>
      </c>
    </row>
    <row r="13" spans="2:11" x14ac:dyDescent="0.25">
      <c r="B13" s="2">
        <v>7</v>
      </c>
      <c r="C13" s="8">
        <v>13</v>
      </c>
      <c r="D13" s="8">
        <v>7.28</v>
      </c>
      <c r="E13" s="8">
        <v>4.24</v>
      </c>
      <c r="F13" s="8">
        <v>10</v>
      </c>
      <c r="G13" s="8">
        <v>4</v>
      </c>
      <c r="H13" s="8">
        <v>7.21</v>
      </c>
      <c r="I13" s="8">
        <v>9.2200000000000006</v>
      </c>
      <c r="J13" s="8">
        <v>0</v>
      </c>
      <c r="K13" s="8">
        <v>8.25</v>
      </c>
    </row>
    <row r="14" spans="2:11" ht="13.8" thickBot="1" x14ac:dyDescent="0.3">
      <c r="B14" s="5">
        <v>8</v>
      </c>
      <c r="C14" s="9">
        <v>19.100000000000001</v>
      </c>
      <c r="D14" s="9">
        <v>13.45</v>
      </c>
      <c r="E14" s="9">
        <v>7.07</v>
      </c>
      <c r="F14" s="9">
        <v>10.199999999999999</v>
      </c>
      <c r="G14" s="9">
        <v>10</v>
      </c>
      <c r="H14" s="9">
        <v>8.94</v>
      </c>
      <c r="I14" s="9">
        <v>12.53</v>
      </c>
      <c r="J14" s="9">
        <v>8.25</v>
      </c>
      <c r="K14" s="9">
        <v>0</v>
      </c>
    </row>
    <row r="15" spans="2:11" x14ac:dyDescent="0.25">
      <c r="B15" s="10"/>
      <c r="C15" s="8"/>
      <c r="D15" s="8"/>
      <c r="E15" s="8"/>
      <c r="F15" s="8"/>
      <c r="G15" s="8"/>
      <c r="H15" s="8"/>
      <c r="I15" s="8"/>
      <c r="J15" s="8"/>
      <c r="K15" s="8"/>
    </row>
    <row r="16" spans="2:11" x14ac:dyDescent="0.25">
      <c r="B16" s="10"/>
      <c r="C16" s="8"/>
      <c r="D16" s="8"/>
      <c r="E16" s="8"/>
      <c r="F16" s="8"/>
      <c r="G16" s="8"/>
      <c r="K16" s="8"/>
    </row>
    <row r="17" spans="2:13" ht="13.8" thickBot="1" x14ac:dyDescent="0.3">
      <c r="E17" s="4" t="s">
        <v>0</v>
      </c>
      <c r="F17" s="4" t="s">
        <v>1</v>
      </c>
      <c r="G17" s="4" t="s">
        <v>3</v>
      </c>
      <c r="I17" s="7"/>
      <c r="J17" s="7"/>
    </row>
    <row r="18" spans="2:13" x14ac:dyDescent="0.25">
      <c r="B18" s="3"/>
      <c r="E18" s="10">
        <v>0</v>
      </c>
      <c r="F18" s="6">
        <v>6</v>
      </c>
      <c r="G18" s="12">
        <f>INDEX($C$6:$K$14,E18+1,F18+1)</f>
        <v>7.62</v>
      </c>
      <c r="I18" s="7"/>
      <c r="J18" s="7"/>
    </row>
    <row r="19" spans="2:13" x14ac:dyDescent="0.25">
      <c r="B19" s="3"/>
      <c r="E19" s="10">
        <f>F18</f>
        <v>6</v>
      </c>
      <c r="F19" s="6">
        <v>3</v>
      </c>
      <c r="G19" s="12">
        <f t="shared" ref="G19:G26" si="0">INDEX($C$6:$K$14,E19+1,F19+1)</f>
        <v>4.12</v>
      </c>
      <c r="I19" s="7"/>
      <c r="J19" s="7"/>
      <c r="M19" s="16"/>
    </row>
    <row r="20" spans="2:13" x14ac:dyDescent="0.25">
      <c r="B20" s="3"/>
      <c r="E20" s="10">
        <f t="shared" ref="E20:F26" si="1">F19</f>
        <v>3</v>
      </c>
      <c r="F20" s="6">
        <v>5</v>
      </c>
      <c r="G20" s="12">
        <f t="shared" si="0"/>
        <v>2.83</v>
      </c>
      <c r="I20" s="7"/>
    </row>
    <row r="21" spans="2:13" x14ac:dyDescent="0.25">
      <c r="B21" s="3"/>
      <c r="E21" s="10">
        <f t="shared" si="1"/>
        <v>5</v>
      </c>
      <c r="F21" s="6">
        <v>2</v>
      </c>
      <c r="G21" s="12">
        <f t="shared" si="0"/>
        <v>3.16</v>
      </c>
      <c r="I21" s="7"/>
      <c r="J21" s="7"/>
    </row>
    <row r="22" spans="2:13" x14ac:dyDescent="0.25">
      <c r="B22" s="3"/>
      <c r="E22" s="10">
        <f t="shared" si="1"/>
        <v>2</v>
      </c>
      <c r="F22" s="6">
        <v>8</v>
      </c>
      <c r="G22" s="12">
        <f t="shared" si="0"/>
        <v>7.07</v>
      </c>
      <c r="I22" s="7"/>
      <c r="J22" s="7"/>
    </row>
    <row r="23" spans="2:13" x14ac:dyDescent="0.25">
      <c r="B23" s="3"/>
      <c r="E23" s="10">
        <f t="shared" si="1"/>
        <v>8</v>
      </c>
      <c r="F23" s="6">
        <v>7</v>
      </c>
      <c r="G23" s="12">
        <f t="shared" si="0"/>
        <v>8.25</v>
      </c>
      <c r="I23" s="7"/>
      <c r="J23" s="7"/>
    </row>
    <row r="24" spans="2:13" x14ac:dyDescent="0.25">
      <c r="B24" s="3"/>
      <c r="E24" s="10">
        <f t="shared" si="1"/>
        <v>7</v>
      </c>
      <c r="F24" s="6">
        <v>4</v>
      </c>
      <c r="G24" s="12">
        <f t="shared" si="0"/>
        <v>4</v>
      </c>
      <c r="J24" s="7"/>
    </row>
    <row r="25" spans="2:13" x14ac:dyDescent="0.25">
      <c r="B25" s="3"/>
      <c r="E25" s="10">
        <f t="shared" si="1"/>
        <v>4</v>
      </c>
      <c r="F25" s="6">
        <v>1</v>
      </c>
      <c r="G25" s="12">
        <f t="shared" si="0"/>
        <v>3.61</v>
      </c>
      <c r="J25" s="7"/>
    </row>
    <row r="26" spans="2:13" ht="13.8" thickBot="1" x14ac:dyDescent="0.3">
      <c r="B26" s="2"/>
      <c r="E26" s="10">
        <f t="shared" si="1"/>
        <v>1</v>
      </c>
      <c r="F26" s="10">
        <v>0</v>
      </c>
      <c r="G26" s="12">
        <f t="shared" si="0"/>
        <v>5.83</v>
      </c>
    </row>
    <row r="27" spans="2:13" ht="13.8" thickBot="1" x14ac:dyDescent="0.3">
      <c r="B27" s="2"/>
      <c r="E27" s="13"/>
      <c r="F27" s="14" t="s">
        <v>4</v>
      </c>
      <c r="G27" s="15">
        <f>SUM(G18:G26)</f>
        <v>46.489999999999995</v>
      </c>
    </row>
    <row r="28" spans="2:13" ht="13.8" thickTop="1" x14ac:dyDescent="0.25">
      <c r="F28" s="1"/>
    </row>
    <row r="30" spans="2:13" x14ac:dyDescent="0.25">
      <c r="C30" s="7"/>
      <c r="D30" s="7"/>
      <c r="E30" s="7"/>
      <c r="F30" s="7"/>
      <c r="G30" s="7"/>
      <c r="K30" s="7"/>
    </row>
    <row r="31" spans="2:13" x14ac:dyDescent="0.25">
      <c r="C31" s="7"/>
      <c r="D31" s="7"/>
      <c r="E31" s="7"/>
      <c r="F31" s="7"/>
      <c r="G31" s="7"/>
      <c r="K31" s="7"/>
    </row>
    <row r="32" spans="2:13" x14ac:dyDescent="0.25">
      <c r="C32" s="7"/>
      <c r="D32" s="7"/>
      <c r="E32" s="7"/>
      <c r="F32" s="7"/>
      <c r="G32" s="7"/>
      <c r="K32" s="7"/>
    </row>
    <row r="33" spans="3:11" x14ac:dyDescent="0.25">
      <c r="C33" s="7"/>
      <c r="D33" s="7"/>
      <c r="E33" s="7"/>
      <c r="F33" s="7"/>
      <c r="G33" s="7"/>
      <c r="K33" s="7"/>
    </row>
    <row r="34" spans="3:11" x14ac:dyDescent="0.25">
      <c r="C34" s="7"/>
      <c r="D34" s="7"/>
      <c r="E34" s="7"/>
      <c r="F34" s="7"/>
      <c r="G34" s="7"/>
      <c r="K34" s="7"/>
    </row>
    <row r="35" spans="3:11" x14ac:dyDescent="0.25">
      <c r="C35" s="7"/>
      <c r="D35" s="7"/>
      <c r="E35" s="7"/>
      <c r="F35" s="7"/>
      <c r="G35" s="7"/>
      <c r="K35" s="7"/>
    </row>
    <row r="36" spans="3:11" x14ac:dyDescent="0.25">
      <c r="C36" s="7"/>
      <c r="D36" s="7"/>
      <c r="E36" s="7"/>
      <c r="F36" s="7"/>
      <c r="G36" s="7"/>
      <c r="K36" s="7"/>
    </row>
    <row r="37" spans="3:11" x14ac:dyDescent="0.25">
      <c r="C37" s="7"/>
      <c r="D37" s="7"/>
      <c r="E37" s="7"/>
      <c r="F37" s="7"/>
      <c r="G37" s="7"/>
      <c r="K37" s="7"/>
    </row>
    <row r="38" spans="3:11" x14ac:dyDescent="0.25">
      <c r="C38" s="7"/>
      <c r="D38" s="7"/>
      <c r="E38" s="7"/>
      <c r="F38" s="7"/>
      <c r="G38" s="7"/>
      <c r="K38" s="7"/>
    </row>
  </sheetData>
  <scenarios current="0">
    <scenario name="Drill_Bit1" count="8" user="Poh Lim" comment="Created by Poh Lim on 8/31/2018">
      <inputCells r="F18" val="6"/>
      <inputCells r="F19" val="3"/>
      <inputCells r="F20" val="5"/>
      <inputCells r="F21" val="2"/>
      <inputCells r="F22" val="8"/>
      <inputCells r="F23" val="7"/>
      <inputCells r="F24" val="4"/>
      <inputCells r="F25" val="1"/>
    </scenario>
  </scenarios>
  <phoneticPr fontId="0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3:H30"/>
  <sheetViews>
    <sheetView tabSelected="1" zoomScale="90" workbookViewId="0">
      <selection activeCell="H7" sqref="H7"/>
    </sheetView>
  </sheetViews>
  <sheetFormatPr defaultRowHeight="13.2" x14ac:dyDescent="0.25"/>
  <cols>
    <col min="2" max="2" width="9.5546875" style="1" customWidth="1"/>
    <col min="3" max="5" width="8.5546875" customWidth="1"/>
    <col min="6" max="6" width="8.6640625" customWidth="1"/>
    <col min="7" max="7" width="8.5546875" customWidth="1"/>
  </cols>
  <sheetData>
    <row r="3" spans="2:8" x14ac:dyDescent="0.25">
      <c r="B3" s="11"/>
    </row>
    <row r="4" spans="2:8" x14ac:dyDescent="0.25">
      <c r="B4" s="17" t="s">
        <v>3</v>
      </c>
    </row>
    <row r="5" spans="2:8" ht="13.8" thickBot="1" x14ac:dyDescent="0.3">
      <c r="B5" s="18" t="s">
        <v>2</v>
      </c>
      <c r="C5" s="5" t="s">
        <v>5</v>
      </c>
      <c r="D5" s="5" t="s">
        <v>6</v>
      </c>
      <c r="E5" s="5" t="s">
        <v>7</v>
      </c>
      <c r="F5" s="5" t="s">
        <v>8</v>
      </c>
      <c r="G5" s="5" t="s">
        <v>9</v>
      </c>
    </row>
    <row r="6" spans="2:8" x14ac:dyDescent="0.25">
      <c r="B6" s="2" t="str">
        <f t="array" ref="B6:B10">TRANSPOSE(C5:G5)</f>
        <v>A</v>
      </c>
      <c r="C6" s="8">
        <v>0</v>
      </c>
      <c r="D6" s="8">
        <v>15</v>
      </c>
      <c r="E6" s="8">
        <v>12</v>
      </c>
      <c r="F6" s="8">
        <v>14</v>
      </c>
      <c r="G6" s="8">
        <v>14</v>
      </c>
    </row>
    <row r="7" spans="2:8" x14ac:dyDescent="0.25">
      <c r="B7" s="2" t="str">
        <v>B</v>
      </c>
      <c r="C7" s="8">
        <v>9</v>
      </c>
      <c r="D7" s="8">
        <v>0</v>
      </c>
      <c r="E7" s="8">
        <v>16</v>
      </c>
      <c r="F7" s="8">
        <v>11</v>
      </c>
      <c r="G7" s="8">
        <v>12</v>
      </c>
    </row>
    <row r="8" spans="2:8" x14ac:dyDescent="0.25">
      <c r="B8" s="2" t="str">
        <v>C</v>
      </c>
      <c r="C8" s="8">
        <v>13</v>
      </c>
      <c r="D8" s="8">
        <v>11</v>
      </c>
      <c r="E8" s="8">
        <v>0</v>
      </c>
      <c r="F8" s="8">
        <v>12</v>
      </c>
      <c r="G8" s="8">
        <v>13</v>
      </c>
    </row>
    <row r="9" spans="2:8" x14ac:dyDescent="0.25">
      <c r="B9" s="2" t="str">
        <v>D</v>
      </c>
      <c r="C9" s="8">
        <v>12</v>
      </c>
      <c r="D9" s="8">
        <v>14</v>
      </c>
      <c r="E9" s="8">
        <v>15</v>
      </c>
      <c r="F9" s="8">
        <v>0</v>
      </c>
      <c r="G9" s="8">
        <v>8</v>
      </c>
    </row>
    <row r="10" spans="2:8" ht="13.8" thickBot="1" x14ac:dyDescent="0.3">
      <c r="B10" s="5" t="str">
        <v>E</v>
      </c>
      <c r="C10" s="9">
        <v>12</v>
      </c>
      <c r="D10" s="9">
        <v>18</v>
      </c>
      <c r="E10" s="9">
        <v>18</v>
      </c>
      <c r="F10" s="9">
        <v>11</v>
      </c>
      <c r="G10" s="9">
        <v>0</v>
      </c>
    </row>
    <row r="11" spans="2:8" x14ac:dyDescent="0.25">
      <c r="B11" s="10"/>
      <c r="C11" s="8"/>
      <c r="D11" s="8"/>
      <c r="E11" s="8"/>
      <c r="F11" s="8"/>
      <c r="G11" s="8"/>
    </row>
    <row r="12" spans="2:8" x14ac:dyDescent="0.25">
      <c r="B12" s="10"/>
      <c r="C12" s="8"/>
      <c r="D12" s="8"/>
      <c r="E12" s="8"/>
      <c r="F12" s="8"/>
      <c r="G12" s="8"/>
    </row>
    <row r="13" spans="2:8" ht="13.8" thickBot="1" x14ac:dyDescent="0.3">
      <c r="B13" s="19" t="s">
        <v>0</v>
      </c>
      <c r="C13" s="19"/>
      <c r="D13" s="19" t="s">
        <v>1</v>
      </c>
      <c r="E13" s="19"/>
      <c r="F13" s="4" t="s">
        <v>3</v>
      </c>
    </row>
    <row r="14" spans="2:8" x14ac:dyDescent="0.25">
      <c r="B14" s="10">
        <v>0</v>
      </c>
      <c r="C14" s="21" t="str">
        <f>INDEX($B$6:$B$10,B14+1,0)</f>
        <v>A</v>
      </c>
      <c r="D14" s="20">
        <v>2</v>
      </c>
      <c r="E14" s="21" t="str">
        <f>INDEX($C$5:$G$5,0,D14+1)</f>
        <v>C</v>
      </c>
      <c r="F14" s="21">
        <f>INDEX($C$6:$G$10,B14+1,D14+1)</f>
        <v>12</v>
      </c>
    </row>
    <row r="15" spans="2:8" x14ac:dyDescent="0.25">
      <c r="B15" s="10">
        <f>D14</f>
        <v>2</v>
      </c>
      <c r="C15" s="21" t="str">
        <f t="shared" ref="C15:C18" si="0">INDEX($B$6:$B$10,B15+1,0)</f>
        <v>C</v>
      </c>
      <c r="D15" s="6">
        <v>1</v>
      </c>
      <c r="E15" s="21" t="str">
        <f t="shared" ref="E15:E18" si="1">INDEX($C$5:$G$5,0,D15+1)</f>
        <v>B</v>
      </c>
      <c r="F15" s="21">
        <f>INDEX($C$6:$G$10,B15+1,D15+1)</f>
        <v>11</v>
      </c>
      <c r="H15" s="16"/>
    </row>
    <row r="16" spans="2:8" x14ac:dyDescent="0.25">
      <c r="B16" s="10">
        <f>D15</f>
        <v>1</v>
      </c>
      <c r="C16" s="21" t="str">
        <f t="shared" si="0"/>
        <v>B</v>
      </c>
      <c r="D16" s="6">
        <v>3</v>
      </c>
      <c r="E16" s="21" t="str">
        <f t="shared" si="1"/>
        <v>D</v>
      </c>
      <c r="F16" s="21">
        <f>INDEX($C$6:$G$10,B16+1,D16+1)</f>
        <v>11</v>
      </c>
    </row>
    <row r="17" spans="2:7" x14ac:dyDescent="0.25">
      <c r="B17" s="10">
        <f>D16</f>
        <v>3</v>
      </c>
      <c r="C17" s="21" t="str">
        <f t="shared" si="0"/>
        <v>D</v>
      </c>
      <c r="D17" s="6">
        <v>4</v>
      </c>
      <c r="E17" s="21" t="str">
        <f t="shared" si="1"/>
        <v>E</v>
      </c>
      <c r="F17" s="21">
        <f>INDEX($C$6:$G$10,B17+1,D17+1)</f>
        <v>8</v>
      </c>
    </row>
    <row r="18" spans="2:7" ht="13.8" thickBot="1" x14ac:dyDescent="0.3">
      <c r="B18" s="5">
        <f>D17</f>
        <v>4</v>
      </c>
      <c r="C18" s="22" t="str">
        <f t="shared" si="0"/>
        <v>E</v>
      </c>
      <c r="D18" s="23">
        <v>0</v>
      </c>
      <c r="E18" s="21" t="str">
        <f t="shared" si="1"/>
        <v>A</v>
      </c>
      <c r="F18" s="21">
        <f>INDEX($C$6:$G$10,B18+1,D18+1)</f>
        <v>12</v>
      </c>
    </row>
    <row r="19" spans="2:7" ht="13.8" thickBot="1" x14ac:dyDescent="0.3">
      <c r="B19" s="2"/>
      <c r="D19" s="13"/>
      <c r="E19" s="14" t="s">
        <v>4</v>
      </c>
      <c r="F19" s="15">
        <f>SUM(F14:F18)</f>
        <v>54</v>
      </c>
    </row>
    <row r="20" spans="2:7" ht="13.8" thickTop="1" x14ac:dyDescent="0.25">
      <c r="F20" s="1"/>
    </row>
    <row r="22" spans="2:7" x14ac:dyDescent="0.25">
      <c r="C22" s="7"/>
      <c r="D22" s="7"/>
      <c r="E22" s="7"/>
      <c r="F22" s="7"/>
      <c r="G22" s="7"/>
    </row>
    <row r="23" spans="2:7" x14ac:dyDescent="0.25">
      <c r="C23" s="7"/>
      <c r="D23" s="7"/>
      <c r="E23" s="7"/>
      <c r="F23" s="7"/>
      <c r="G23" s="7"/>
    </row>
    <row r="24" spans="2:7" x14ac:dyDescent="0.25">
      <c r="C24" s="7"/>
      <c r="D24" s="7"/>
      <c r="E24" s="7"/>
      <c r="F24" s="7"/>
      <c r="G24" s="7"/>
    </row>
    <row r="25" spans="2:7" x14ac:dyDescent="0.25">
      <c r="C25" s="7"/>
      <c r="D25" s="7"/>
      <c r="E25" s="7"/>
      <c r="F25" s="7"/>
      <c r="G25" s="7"/>
    </row>
    <row r="26" spans="2:7" x14ac:dyDescent="0.25">
      <c r="C26" s="7"/>
      <c r="D26" s="7"/>
      <c r="E26" s="7"/>
      <c r="F26" s="7"/>
      <c r="G26" s="7"/>
    </row>
    <row r="27" spans="2:7" x14ac:dyDescent="0.25">
      <c r="C27" s="7"/>
      <c r="D27" s="7"/>
      <c r="E27" s="7"/>
      <c r="F27" s="7"/>
      <c r="G27" s="7"/>
    </row>
    <row r="28" spans="2:7" x14ac:dyDescent="0.25">
      <c r="C28" s="7"/>
      <c r="D28" s="7"/>
      <c r="E28" s="7"/>
      <c r="F28" s="7"/>
      <c r="G28" s="7"/>
    </row>
    <row r="29" spans="2:7" x14ac:dyDescent="0.25">
      <c r="C29" s="7"/>
      <c r="D29" s="7"/>
      <c r="E29" s="7"/>
      <c r="F29" s="7"/>
      <c r="G29" s="7"/>
    </row>
    <row r="30" spans="2:7" x14ac:dyDescent="0.25">
      <c r="C30" s="7"/>
      <c r="D30" s="7"/>
      <c r="E30" s="7"/>
      <c r="F30" s="7"/>
      <c r="G30" s="7"/>
    </row>
  </sheetData>
  <mergeCells count="2">
    <mergeCell ref="B13:C13"/>
    <mergeCell ref="D13:E13"/>
  </mergeCells>
  <pageMargins left="0.75" right="0.75" top="1" bottom="1" header="0.5" footer="0.5"/>
  <pageSetup orientation="portrait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Drill Bit Tour</vt:lpstr>
      <vt:lpstr>salesman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Ragsdale</dc:creator>
  <cp:lastModifiedBy>Poh Lim</cp:lastModifiedBy>
  <dcterms:created xsi:type="dcterms:W3CDTF">1999-09-18T00:09:10Z</dcterms:created>
  <dcterms:modified xsi:type="dcterms:W3CDTF">2018-08-31T05:11:34Z</dcterms:modified>
</cp:coreProperties>
</file>