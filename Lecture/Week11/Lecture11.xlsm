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gu\Desktop\3158 Material\Week 11 Edit\"/>
    </mc:Choice>
  </mc:AlternateContent>
  <xr:revisionPtr revIDLastSave="0" documentId="13_ncr:1_{F7CFAE22-B8F6-4423-BCB1-24686F89206A}" xr6:coauthVersionLast="41" xr6:coauthVersionMax="41" xr10:uidLastSave="{00000000-0000-0000-0000-000000000000}"/>
  <bookViews>
    <workbookView xWindow="-108" yWindow="-108" windowWidth="23256" windowHeight="12576" activeTab="2" xr2:uid="{00000000-000D-0000-FFFF-FFFF00000000}"/>
  </bookViews>
  <sheets>
    <sheet name="RNG" sheetId="11" r:id="rId1"/>
    <sheet name="Other RNG" sheetId="12" r:id="rId2"/>
    <sheet name="Newsboy" sheetId="13" r:id="rId3"/>
    <sheet name="Simulation (Hand)" sheetId="3" r:id="rId4"/>
    <sheet name="Simulation (Spreadsheet)" sheetId="4" r:id="rId5"/>
    <sheet name="Poisson Dist" sheetId="6" r:id="rId6"/>
    <sheet name="MM1 SS" sheetId="7" r:id="rId7"/>
    <sheet name="MG1 SS" sheetId="8" r:id="rId8"/>
    <sheet name="MMS SS" sheetId="1" r:id="rId9"/>
    <sheet name="Econ Analysis" sheetId="10" r:id="rId10"/>
  </sheets>
  <functionGroups builtInGroupCount="19"/>
  <definedNames>
    <definedName name="cumulative_prob">Newsboy!$H$4:$I$9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7" i="13" l="1"/>
  <c r="C117" i="13" s="1"/>
  <c r="B116" i="13"/>
  <c r="C116" i="13" s="1"/>
  <c r="B115" i="13"/>
  <c r="C115" i="13" s="1"/>
  <c r="B114" i="13"/>
  <c r="C114" i="13" s="1"/>
  <c r="B113" i="13"/>
  <c r="C113" i="13" s="1"/>
  <c r="B112" i="13"/>
  <c r="C112" i="13" s="1"/>
  <c r="B111" i="13"/>
  <c r="C111" i="13" s="1"/>
  <c r="B110" i="13"/>
  <c r="C110" i="13" s="1"/>
  <c r="B109" i="13"/>
  <c r="C109" i="13" s="1"/>
  <c r="B108" i="13"/>
  <c r="C108" i="13" s="1"/>
  <c r="B107" i="13"/>
  <c r="C107" i="13" s="1"/>
  <c r="B106" i="13"/>
  <c r="C106" i="13" s="1"/>
  <c r="B105" i="13"/>
  <c r="C105" i="13" s="1"/>
  <c r="B104" i="13"/>
  <c r="C104" i="13" s="1"/>
  <c r="B103" i="13"/>
  <c r="C103" i="13" s="1"/>
  <c r="B102" i="13"/>
  <c r="C102" i="13" s="1"/>
  <c r="B101" i="13"/>
  <c r="C101" i="13" s="1"/>
  <c r="B100" i="13"/>
  <c r="C100" i="13" s="1"/>
  <c r="B99" i="13"/>
  <c r="C99" i="13" s="1"/>
  <c r="B98" i="13"/>
  <c r="C98" i="13" s="1"/>
  <c r="B97" i="13"/>
  <c r="C97" i="13" s="1"/>
  <c r="B96" i="13"/>
  <c r="C96" i="13" s="1"/>
  <c r="B95" i="13"/>
  <c r="C95" i="13" s="1"/>
  <c r="B94" i="13"/>
  <c r="C94" i="13" s="1"/>
  <c r="B93" i="13"/>
  <c r="C93" i="13" s="1"/>
  <c r="B92" i="13"/>
  <c r="C92" i="13" s="1"/>
  <c r="B91" i="13"/>
  <c r="C91" i="13" s="1"/>
  <c r="B90" i="13"/>
  <c r="C90" i="13" s="1"/>
  <c r="B89" i="13"/>
  <c r="C89" i="13" s="1"/>
  <c r="B88" i="13"/>
  <c r="C88" i="13" s="1"/>
  <c r="B87" i="13"/>
  <c r="C87" i="13" s="1"/>
  <c r="B86" i="13"/>
  <c r="C86" i="13" s="1"/>
  <c r="B85" i="13"/>
  <c r="C85" i="13" s="1"/>
  <c r="B84" i="13"/>
  <c r="C84" i="13" s="1"/>
  <c r="B83" i="13"/>
  <c r="C83" i="13" s="1"/>
  <c r="B82" i="13"/>
  <c r="C82" i="13" s="1"/>
  <c r="B81" i="13"/>
  <c r="C81" i="13" s="1"/>
  <c r="B80" i="13"/>
  <c r="C80" i="13" s="1"/>
  <c r="B79" i="13"/>
  <c r="C79" i="13" s="1"/>
  <c r="B78" i="13"/>
  <c r="C78" i="13" s="1"/>
  <c r="B77" i="13"/>
  <c r="C77" i="13" s="1"/>
  <c r="B76" i="13"/>
  <c r="C76" i="13" s="1"/>
  <c r="B75" i="13"/>
  <c r="C75" i="13" s="1"/>
  <c r="B74" i="13"/>
  <c r="C74" i="13" s="1"/>
  <c r="B73" i="13"/>
  <c r="C73" i="13" s="1"/>
  <c r="B72" i="13"/>
  <c r="C72" i="13" s="1"/>
  <c r="B71" i="13"/>
  <c r="C71" i="13" s="1"/>
  <c r="B70" i="13"/>
  <c r="C70" i="13" s="1"/>
  <c r="B69" i="13"/>
  <c r="C69" i="13" s="1"/>
  <c r="B68" i="13"/>
  <c r="C68" i="13" s="1"/>
  <c r="B67" i="13"/>
  <c r="C67" i="13" s="1"/>
  <c r="B66" i="13"/>
  <c r="C66" i="13" s="1"/>
  <c r="B65" i="13"/>
  <c r="C65" i="13" s="1"/>
  <c r="B64" i="13"/>
  <c r="C64" i="13" s="1"/>
  <c r="B63" i="13"/>
  <c r="C63" i="13" s="1"/>
  <c r="B62" i="13"/>
  <c r="C62" i="13" s="1"/>
  <c r="B61" i="13"/>
  <c r="C61" i="13" s="1"/>
  <c r="B60" i="13"/>
  <c r="C60" i="13" s="1"/>
  <c r="B59" i="13"/>
  <c r="C59" i="13" s="1"/>
  <c r="B58" i="13"/>
  <c r="C58" i="13" s="1"/>
  <c r="B57" i="13"/>
  <c r="C57" i="13" s="1"/>
  <c r="B56" i="13"/>
  <c r="C56" i="13" s="1"/>
  <c r="B55" i="13"/>
  <c r="C55" i="13" s="1"/>
  <c r="B54" i="13"/>
  <c r="C54" i="13" s="1"/>
  <c r="B53" i="13"/>
  <c r="C53" i="13" s="1"/>
  <c r="B52" i="13"/>
  <c r="C52" i="13" s="1"/>
  <c r="B51" i="13"/>
  <c r="C51" i="13" s="1"/>
  <c r="B50" i="13"/>
  <c r="C50" i="13" s="1"/>
  <c r="B49" i="13"/>
  <c r="C49" i="13" s="1"/>
  <c r="B48" i="13"/>
  <c r="C48" i="13" s="1"/>
  <c r="B47" i="13"/>
  <c r="C47" i="13" s="1"/>
  <c r="B46" i="13"/>
  <c r="C46" i="13" s="1"/>
  <c r="B45" i="13"/>
  <c r="C45" i="13" s="1"/>
  <c r="B44" i="13"/>
  <c r="C44" i="13" s="1"/>
  <c r="B43" i="13"/>
  <c r="C43" i="13" s="1"/>
  <c r="B42" i="13"/>
  <c r="C42" i="13" s="1"/>
  <c r="B41" i="13"/>
  <c r="C41" i="13" s="1"/>
  <c r="B40" i="13"/>
  <c r="C40" i="13" s="1"/>
  <c r="B39" i="13"/>
  <c r="C39" i="13" s="1"/>
  <c r="B38" i="13"/>
  <c r="C38" i="13" s="1"/>
  <c r="B37" i="13"/>
  <c r="C37" i="13" s="1"/>
  <c r="B36" i="13"/>
  <c r="C36" i="13" s="1"/>
  <c r="B35" i="13"/>
  <c r="C35" i="13" s="1"/>
  <c r="B34" i="13"/>
  <c r="C34" i="13" s="1"/>
  <c r="B33" i="13"/>
  <c r="C33" i="13" s="1"/>
  <c r="B32" i="13"/>
  <c r="C32" i="13" s="1"/>
  <c r="B31" i="13"/>
  <c r="C31" i="13" s="1"/>
  <c r="B30" i="13"/>
  <c r="C30" i="13" s="1"/>
  <c r="B29" i="13"/>
  <c r="C29" i="13" s="1"/>
  <c r="B28" i="13"/>
  <c r="C28" i="13" s="1"/>
  <c r="B27" i="13"/>
  <c r="C27" i="13" s="1"/>
  <c r="B26" i="13"/>
  <c r="C26" i="13" s="1"/>
  <c r="B25" i="13"/>
  <c r="C25" i="13" s="1"/>
  <c r="B24" i="13"/>
  <c r="C24" i="13" s="1"/>
  <c r="B23" i="13"/>
  <c r="C23" i="13" s="1"/>
  <c r="B22" i="13"/>
  <c r="C22" i="13" s="1"/>
  <c r="B21" i="13"/>
  <c r="C21" i="13" s="1"/>
  <c r="B20" i="13"/>
  <c r="C20" i="13" s="1"/>
  <c r="B19" i="13"/>
  <c r="C19" i="13" s="1"/>
  <c r="B18" i="13"/>
  <c r="C18" i="13" s="1"/>
  <c r="F4" i="13"/>
  <c r="F5" i="13" s="1"/>
  <c r="F6" i="13" s="1"/>
  <c r="F7" i="13" s="1"/>
  <c r="F8" i="13" s="1"/>
  <c r="F9" i="13" s="1"/>
  <c r="D12" i="12"/>
  <c r="D10" i="12"/>
  <c r="D8" i="12"/>
  <c r="D6" i="12"/>
  <c r="D4" i="12"/>
  <c r="E15" i="11"/>
  <c r="A15" i="11"/>
  <c r="B15" i="11" s="1"/>
  <c r="E14" i="11"/>
  <c r="A14" i="11"/>
  <c r="B14" i="11" s="1"/>
  <c r="E13" i="11"/>
  <c r="A13" i="11"/>
  <c r="B13" i="11" s="1"/>
  <c r="E12" i="11"/>
  <c r="A12" i="11"/>
  <c r="B12" i="11" s="1"/>
  <c r="E11" i="11"/>
  <c r="A11" i="11"/>
  <c r="B11" i="11" s="1"/>
  <c r="E10" i="11"/>
  <c r="A10" i="11"/>
  <c r="B10" i="11" s="1"/>
  <c r="E9" i="11"/>
  <c r="A9" i="11"/>
  <c r="B9" i="11" s="1"/>
  <c r="E8" i="11"/>
  <c r="A8" i="11"/>
  <c r="B8" i="11" s="1"/>
  <c r="E7" i="11"/>
  <c r="A7" i="11"/>
  <c r="B7" i="11" s="1"/>
  <c r="E6" i="11"/>
  <c r="A6" i="11"/>
  <c r="B6" i="11" s="1"/>
  <c r="E5" i="11"/>
  <c r="A5" i="11"/>
  <c r="B5" i="11" s="1"/>
  <c r="E4" i="11"/>
  <c r="A4" i="11"/>
  <c r="B4" i="11" s="1"/>
  <c r="E3" i="11"/>
  <c r="A3" i="11"/>
  <c r="B3" i="11" s="1"/>
  <c r="E13" i="13" l="1"/>
  <c r="I14" i="13" s="1"/>
  <c r="D15" i="3"/>
  <c r="D16" i="3" s="1"/>
  <c r="D12" i="4"/>
  <c r="E12" i="4" s="1"/>
  <c r="F12" i="4" s="1"/>
  <c r="G12" i="4" s="1"/>
  <c r="H12" i="4"/>
  <c r="I12" i="4" s="1"/>
  <c r="D13" i="4"/>
  <c r="E13" i="4" s="1"/>
  <c r="H13" i="4"/>
  <c r="I13" i="4" s="1"/>
  <c r="D14" i="4"/>
  <c r="E14" i="4" s="1"/>
  <c r="D15" i="4"/>
  <c r="E15" i="4" s="1"/>
  <c r="D16" i="4"/>
  <c r="E16" i="4" s="1"/>
  <c r="D17" i="4"/>
  <c r="E17" i="4" s="1"/>
  <c r="D18" i="4"/>
  <c r="E18" i="4" s="1"/>
  <c r="D19" i="4"/>
  <c r="E19" i="4" s="1"/>
  <c r="D20" i="4"/>
  <c r="E20" i="4" s="1"/>
  <c r="D21" i="4"/>
  <c r="E21" i="4" s="1"/>
  <c r="H14" i="4"/>
  <c r="I14" i="4" s="1"/>
  <c r="H15" i="4"/>
  <c r="I15" i="4" s="1"/>
  <c r="H16" i="4"/>
  <c r="I16" i="4" s="1"/>
  <c r="H17" i="4"/>
  <c r="I17" i="4" s="1"/>
  <c r="H18" i="4"/>
  <c r="I18" i="4" s="1"/>
  <c r="H19" i="4"/>
  <c r="I19" i="4" s="1"/>
  <c r="H20" i="4"/>
  <c r="I20" i="4" s="1"/>
  <c r="H21" i="4"/>
  <c r="I21" i="4" s="1"/>
  <c r="C13" i="4"/>
  <c r="C14" i="4" s="1"/>
  <c r="C15" i="4" s="1"/>
  <c r="C16" i="4" s="1"/>
  <c r="C17" i="4" s="1"/>
  <c r="C18" i="4" s="1"/>
  <c r="C19" i="4" s="1"/>
  <c r="C20" i="4" s="1"/>
  <c r="C21" i="4" s="1"/>
  <c r="H4" i="3"/>
  <c r="H5" i="3" s="1"/>
  <c r="H6" i="3" s="1"/>
  <c r="C4" i="3"/>
  <c r="C5" i="3" s="1"/>
  <c r="C6" i="3" s="1"/>
  <c r="C7" i="3" s="1"/>
  <c r="C8" i="3" s="1"/>
  <c r="C4" i="10"/>
  <c r="D4" i="10" s="1"/>
  <c r="E4" i="10" s="1"/>
  <c r="F4" i="10" s="1"/>
  <c r="C3" i="10"/>
  <c r="D3" i="10" s="1"/>
  <c r="C6" i="10"/>
  <c r="C15" i="10" s="1"/>
  <c r="C7" i="10"/>
  <c r="D7" i="10" s="1"/>
  <c r="E7" i="10" s="1"/>
  <c r="F7" i="10" s="1"/>
  <c r="B15" i="10"/>
  <c r="B13" i="10"/>
  <c r="C5" i="8"/>
  <c r="D5" i="8" s="1"/>
  <c r="C8" i="8"/>
  <c r="D8" i="8"/>
  <c r="D14" i="8" s="1"/>
  <c r="E8" i="8"/>
  <c r="F8" i="8"/>
  <c r="G8" i="8"/>
  <c r="G14" i="8" s="1"/>
  <c r="H8" i="8"/>
  <c r="H14" i="8" s="1"/>
  <c r="C9" i="8"/>
  <c r="C11" i="8" s="1"/>
  <c r="C12" i="8" s="1"/>
  <c r="C13" i="8"/>
  <c r="D13" i="8"/>
  <c r="E13" i="8"/>
  <c r="F13" i="8"/>
  <c r="G13" i="8"/>
  <c r="H13" i="8"/>
  <c r="C14" i="8"/>
  <c r="E14" i="8"/>
  <c r="F14" i="8"/>
  <c r="C15" i="8"/>
  <c r="D15" i="8"/>
  <c r="E15" i="8"/>
  <c r="F15" i="8"/>
  <c r="G15" i="8"/>
  <c r="H15" i="8"/>
  <c r="B9" i="8"/>
  <c r="B10" i="8" s="1"/>
  <c r="B8" i="8"/>
  <c r="B14" i="8" s="1"/>
  <c r="B13" i="8"/>
  <c r="B15" i="8"/>
  <c r="G7" i="7"/>
  <c r="G13" i="7" s="1"/>
  <c r="H7" i="7"/>
  <c r="G8" i="7"/>
  <c r="H8" i="7"/>
  <c r="H9" i="7" s="1"/>
  <c r="G9" i="7"/>
  <c r="G10" i="7"/>
  <c r="G11" i="7" s="1"/>
  <c r="H10" i="7"/>
  <c r="H11" i="7" s="1"/>
  <c r="G12" i="7"/>
  <c r="H12" i="7"/>
  <c r="H13" i="7"/>
  <c r="G14" i="7"/>
  <c r="H14" i="7"/>
  <c r="F14" i="7"/>
  <c r="F7" i="7"/>
  <c r="F13" i="7" s="1"/>
  <c r="F12" i="7"/>
  <c r="F8" i="7"/>
  <c r="F9" i="7" s="1"/>
  <c r="E14" i="7"/>
  <c r="E7" i="7"/>
  <c r="E13" i="7" s="1"/>
  <c r="E12" i="7"/>
  <c r="E8" i="7"/>
  <c r="E9" i="7" s="1"/>
  <c r="E10" i="7"/>
  <c r="E11" i="7" s="1"/>
  <c r="D14" i="7"/>
  <c r="D7" i="7"/>
  <c r="D13" i="7" s="1"/>
  <c r="D12" i="7"/>
  <c r="D8" i="7"/>
  <c r="D9" i="7" s="1"/>
  <c r="C14" i="7"/>
  <c r="C7" i="7"/>
  <c r="C13" i="7" s="1"/>
  <c r="C12" i="7"/>
  <c r="C8" i="7"/>
  <c r="C9" i="7" s="1"/>
  <c r="C10" i="7"/>
  <c r="C11" i="7" s="1"/>
  <c r="B14" i="7"/>
  <c r="B7" i="7"/>
  <c r="B13" i="7" s="1"/>
  <c r="B12" i="7"/>
  <c r="B8" i="7"/>
  <c r="B9" i="7" s="1"/>
  <c r="C15" i="1"/>
  <c r="D15" i="1"/>
  <c r="E15" i="1"/>
  <c r="F15" i="1"/>
  <c r="B15" i="1"/>
  <c r="A31" i="6"/>
  <c r="A32" i="6" s="1"/>
  <c r="C3" i="6"/>
  <c r="K31" i="6"/>
  <c r="J31" i="6"/>
  <c r="I31" i="6"/>
  <c r="G31" i="6"/>
  <c r="F31" i="6"/>
  <c r="D31" i="6"/>
  <c r="B31" i="6"/>
  <c r="L30" i="6"/>
  <c r="K30" i="6"/>
  <c r="J30" i="6"/>
  <c r="I30" i="6"/>
  <c r="H30" i="6"/>
  <c r="G30" i="6"/>
  <c r="F30" i="6"/>
  <c r="E30" i="6"/>
  <c r="D30" i="6"/>
  <c r="C30" i="6"/>
  <c r="B30" i="6"/>
  <c r="L29" i="6"/>
  <c r="K29" i="6"/>
  <c r="J29" i="6"/>
  <c r="I29" i="6"/>
  <c r="H29" i="6"/>
  <c r="G29" i="6"/>
  <c r="F29" i="6"/>
  <c r="E29" i="6"/>
  <c r="D29" i="6"/>
  <c r="C29" i="6"/>
  <c r="B29" i="6"/>
  <c r="L28" i="6"/>
  <c r="K28" i="6"/>
  <c r="J28" i="6"/>
  <c r="I28" i="6"/>
  <c r="H28" i="6"/>
  <c r="G28" i="6"/>
  <c r="F28" i="6"/>
  <c r="E28" i="6"/>
  <c r="D28" i="6"/>
  <c r="C28" i="6"/>
  <c r="B28" i="6"/>
  <c r="A6" i="6"/>
  <c r="A7" i="6" s="1"/>
  <c r="H6" i="6"/>
  <c r="F6" i="6"/>
  <c r="L5" i="6"/>
  <c r="K5" i="6"/>
  <c r="J5" i="6"/>
  <c r="I5" i="6"/>
  <c r="H5" i="6"/>
  <c r="G5" i="6"/>
  <c r="F5" i="6"/>
  <c r="E5" i="6"/>
  <c r="D5" i="6"/>
  <c r="C5" i="6"/>
  <c r="B5" i="6"/>
  <c r="L4" i="6"/>
  <c r="K4" i="6"/>
  <c r="J4" i="6"/>
  <c r="I4" i="6"/>
  <c r="H4" i="6"/>
  <c r="G4" i="6"/>
  <c r="F4" i="6"/>
  <c r="E4" i="6"/>
  <c r="D4" i="6"/>
  <c r="C4" i="6"/>
  <c r="B4" i="6"/>
  <c r="C8" i="1"/>
  <c r="F9" i="10"/>
  <c r="B8" i="1"/>
  <c r="D9" i="10"/>
  <c r="F8" i="1"/>
  <c r="D8" i="1"/>
  <c r="B9" i="10"/>
  <c r="E8" i="1"/>
  <c r="E9" i="10"/>
  <c r="C9" i="10"/>
  <c r="G6" i="6" l="1"/>
  <c r="D10" i="7"/>
  <c r="D11" i="7" s="1"/>
  <c r="E15" i="3"/>
  <c r="H15" i="3" s="1"/>
  <c r="E16" i="3" s="1"/>
  <c r="E6" i="6"/>
  <c r="I6" i="6"/>
  <c r="C31" i="6"/>
  <c r="H31" i="6"/>
  <c r="L31" i="6"/>
  <c r="B10" i="7"/>
  <c r="B11" i="7" s="1"/>
  <c r="F10" i="7"/>
  <c r="F11" i="7" s="1"/>
  <c r="C10" i="8"/>
  <c r="D6" i="10"/>
  <c r="D15" i="10" s="1"/>
  <c r="I15" i="3"/>
  <c r="D17" i="3"/>
  <c r="F13" i="4"/>
  <c r="F14" i="4" s="1"/>
  <c r="F15" i="4" s="1"/>
  <c r="F16" i="4" s="1"/>
  <c r="F17" i="4" s="1"/>
  <c r="F18" i="4" s="1"/>
  <c r="F19" i="4" s="1"/>
  <c r="F20" i="4" s="1"/>
  <c r="F21" i="4" s="1"/>
  <c r="F9" i="1"/>
  <c r="F14" i="1"/>
  <c r="F13" i="1"/>
  <c r="E14" i="1"/>
  <c r="E13" i="1"/>
  <c r="E9" i="1"/>
  <c r="D14" i="1"/>
  <c r="D13" i="1"/>
  <c r="D9" i="1"/>
  <c r="B10" i="10"/>
  <c r="B11" i="10" s="1"/>
  <c r="C10" i="10"/>
  <c r="C11" i="10" s="1"/>
  <c r="C14" i="1"/>
  <c r="C13" i="1"/>
  <c r="C9" i="1"/>
  <c r="B14" i="1"/>
  <c r="B13" i="1"/>
  <c r="B9" i="1"/>
  <c r="A8" i="6"/>
  <c r="H7" i="6"/>
  <c r="G7" i="6"/>
  <c r="F7" i="6"/>
  <c r="E7" i="6"/>
  <c r="D7" i="6"/>
  <c r="C7" i="6"/>
  <c r="L7" i="6"/>
  <c r="B7" i="6"/>
  <c r="K7" i="6"/>
  <c r="I7" i="6"/>
  <c r="J7" i="6"/>
  <c r="L6" i="6"/>
  <c r="K32" i="6"/>
  <c r="C32" i="6"/>
  <c r="J32" i="6"/>
  <c r="B32" i="6"/>
  <c r="A33" i="6"/>
  <c r="I32" i="6"/>
  <c r="H32" i="6"/>
  <c r="G32" i="6"/>
  <c r="F32" i="6"/>
  <c r="E32" i="6"/>
  <c r="L32" i="6"/>
  <c r="D32" i="6"/>
  <c r="E3" i="10"/>
  <c r="D10" i="10"/>
  <c r="D11" i="10" s="1"/>
  <c r="D13" i="10"/>
  <c r="B6" i="6"/>
  <c r="D6" i="6"/>
  <c r="E5" i="8"/>
  <c r="D9" i="8"/>
  <c r="K6" i="6"/>
  <c r="C6" i="6"/>
  <c r="J6" i="6"/>
  <c r="K12" i="4"/>
  <c r="J12" i="4"/>
  <c r="B11" i="8"/>
  <c r="B12" i="8" s="1"/>
  <c r="E31" i="6"/>
  <c r="C13" i="10"/>
  <c r="E6" i="10" l="1"/>
  <c r="E17" i="3"/>
  <c r="D18" i="3"/>
  <c r="D19" i="3" s="1"/>
  <c r="D20" i="3" s="1"/>
  <c r="D21" i="3" s="1"/>
  <c r="D22" i="3" s="1"/>
  <c r="D23" i="3" s="1"/>
  <c r="D24" i="3" s="1"/>
  <c r="I16" i="3"/>
  <c r="H16" i="3"/>
  <c r="E9" i="8"/>
  <c r="F5" i="8"/>
  <c r="B12" i="10"/>
  <c r="B16" i="10"/>
  <c r="B17" i="10" s="1"/>
  <c r="E15" i="10"/>
  <c r="F6" i="10"/>
  <c r="F15" i="10" s="1"/>
  <c r="G13" i="4"/>
  <c r="L12" i="4"/>
  <c r="E11" i="1"/>
  <c r="E12" i="1" s="1"/>
  <c r="E10" i="1"/>
  <c r="D12" i="10"/>
  <c r="D16" i="10"/>
  <c r="D17" i="10" s="1"/>
  <c r="C10" i="1"/>
  <c r="C11" i="1"/>
  <c r="C12" i="1" s="1"/>
  <c r="F3" i="10"/>
  <c r="E13" i="10"/>
  <c r="E10" i="10"/>
  <c r="E11" i="10" s="1"/>
  <c r="H33" i="6"/>
  <c r="G33" i="6"/>
  <c r="F33" i="6"/>
  <c r="A34" i="6"/>
  <c r="E33" i="6"/>
  <c r="L33" i="6"/>
  <c r="D33" i="6"/>
  <c r="K33" i="6"/>
  <c r="C33" i="6"/>
  <c r="J33" i="6"/>
  <c r="B33" i="6"/>
  <c r="I33" i="6"/>
  <c r="C12" i="10"/>
  <c r="C16" i="10"/>
  <c r="C17" i="10" s="1"/>
  <c r="D11" i="8"/>
  <c r="D12" i="8" s="1"/>
  <c r="D10" i="8"/>
  <c r="E8" i="6"/>
  <c r="A9" i="6"/>
  <c r="L8" i="6"/>
  <c r="D8" i="6"/>
  <c r="G8" i="6"/>
  <c r="I8" i="6"/>
  <c r="F8" i="6"/>
  <c r="C8" i="6"/>
  <c r="B8" i="6"/>
  <c r="K8" i="6"/>
  <c r="J8" i="6"/>
  <c r="H8" i="6"/>
  <c r="B11" i="1"/>
  <c r="B12" i="1" s="1"/>
  <c r="B10" i="1"/>
  <c r="D10" i="1"/>
  <c r="D11" i="1"/>
  <c r="D12" i="1" s="1"/>
  <c r="F11" i="1"/>
  <c r="F12" i="1" s="1"/>
  <c r="F10" i="1"/>
  <c r="H17" i="3" l="1"/>
  <c r="E18" i="3" s="1"/>
  <c r="I17" i="3"/>
  <c r="E34" i="6"/>
  <c r="L34" i="6"/>
  <c r="D34" i="6"/>
  <c r="K34" i="6"/>
  <c r="C34" i="6"/>
  <c r="J34" i="6"/>
  <c r="B34" i="6"/>
  <c r="A35" i="6"/>
  <c r="I34" i="6"/>
  <c r="H34" i="6"/>
  <c r="G34" i="6"/>
  <c r="F34" i="6"/>
  <c r="F10" i="10"/>
  <c r="F11" i="10" s="1"/>
  <c r="F13" i="10"/>
  <c r="F9" i="8"/>
  <c r="G5" i="8"/>
  <c r="K13" i="4"/>
  <c r="J13" i="4"/>
  <c r="J9" i="6"/>
  <c r="B9" i="6"/>
  <c r="I9" i="6"/>
  <c r="F9" i="6"/>
  <c r="E9" i="6"/>
  <c r="D9" i="6"/>
  <c r="C9" i="6"/>
  <c r="A10" i="6"/>
  <c r="L9" i="6"/>
  <c r="K9" i="6"/>
  <c r="H9" i="6"/>
  <c r="G9" i="6"/>
  <c r="E16" i="10"/>
  <c r="E17" i="10" s="1"/>
  <c r="E12" i="10"/>
  <c r="E11" i="8"/>
  <c r="E12" i="8" s="1"/>
  <c r="E10" i="8"/>
  <c r="H18" i="3" l="1"/>
  <c r="E19" i="3" s="1"/>
  <c r="I18" i="3"/>
  <c r="J35" i="6"/>
  <c r="B35" i="6"/>
  <c r="I35" i="6"/>
  <c r="H35" i="6"/>
  <c r="G35" i="6"/>
  <c r="F35" i="6"/>
  <c r="A36" i="6"/>
  <c r="E35" i="6"/>
  <c r="L35" i="6"/>
  <c r="D35" i="6"/>
  <c r="K35" i="6"/>
  <c r="C35" i="6"/>
  <c r="F16" i="10"/>
  <c r="F17" i="10" s="1"/>
  <c r="F12" i="10"/>
  <c r="G10" i="6"/>
  <c r="F10" i="6"/>
  <c r="E10" i="6"/>
  <c r="D10" i="6"/>
  <c r="C10" i="6"/>
  <c r="L10" i="6"/>
  <c r="B10" i="6"/>
  <c r="K10" i="6"/>
  <c r="A11" i="6"/>
  <c r="J10" i="6"/>
  <c r="H10" i="6"/>
  <c r="I10" i="6"/>
  <c r="L13" i="4"/>
  <c r="G14" i="4"/>
  <c r="G9" i="8"/>
  <c r="H5" i="8"/>
  <c r="H9" i="8" s="1"/>
  <c r="F11" i="8"/>
  <c r="F12" i="8" s="1"/>
  <c r="F10" i="8"/>
  <c r="H19" i="3" l="1"/>
  <c r="E20" i="3" s="1"/>
  <c r="I19" i="3"/>
  <c r="G36" i="6"/>
  <c r="F36" i="6"/>
  <c r="E36" i="6"/>
  <c r="L36" i="6"/>
  <c r="D36" i="6"/>
  <c r="K36" i="6"/>
  <c r="C36" i="6"/>
  <c r="J36" i="6"/>
  <c r="B36" i="6"/>
  <c r="A37" i="6"/>
  <c r="I36" i="6"/>
  <c r="H36" i="6"/>
  <c r="L11" i="6"/>
  <c r="D11" i="6"/>
  <c r="K11" i="6"/>
  <c r="C11" i="6"/>
  <c r="F11" i="6"/>
  <c r="E11" i="6"/>
  <c r="B11" i="6"/>
  <c r="H11" i="6"/>
  <c r="J11" i="6"/>
  <c r="I11" i="6"/>
  <c r="A12" i="6"/>
  <c r="G11" i="6"/>
  <c r="G10" i="8"/>
  <c r="G11" i="8"/>
  <c r="G12" i="8" s="1"/>
  <c r="H10" i="8"/>
  <c r="H11" i="8"/>
  <c r="H12" i="8" s="1"/>
  <c r="J14" i="4"/>
  <c r="K14" i="4"/>
  <c r="H20" i="3" l="1"/>
  <c r="E21" i="3" s="1"/>
  <c r="I20" i="3"/>
  <c r="I12" i="6"/>
  <c r="H12" i="6"/>
  <c r="E12" i="6"/>
  <c r="G12" i="6"/>
  <c r="D12" i="6"/>
  <c r="C12" i="6"/>
  <c r="L12" i="6"/>
  <c r="B12" i="6"/>
  <c r="K12" i="6"/>
  <c r="J12" i="6"/>
  <c r="A13" i="6"/>
  <c r="F12" i="6"/>
  <c r="L14" i="4"/>
  <c r="G15" i="4"/>
  <c r="L37" i="6"/>
  <c r="D37" i="6"/>
  <c r="K37" i="6"/>
  <c r="C37" i="6"/>
  <c r="J37" i="6"/>
  <c r="B37" i="6"/>
  <c r="I37" i="6"/>
  <c r="H37" i="6"/>
  <c r="G37" i="6"/>
  <c r="F37" i="6"/>
  <c r="A38" i="6"/>
  <c r="E37" i="6"/>
  <c r="H21" i="3" l="1"/>
  <c r="E22" i="3" s="1"/>
  <c r="I21" i="3"/>
  <c r="F13" i="6"/>
  <c r="E13" i="6"/>
  <c r="A14" i="6"/>
  <c r="D13" i="6"/>
  <c r="C13" i="6"/>
  <c r="H13" i="6"/>
  <c r="L13" i="6"/>
  <c r="B13" i="6"/>
  <c r="K13" i="6"/>
  <c r="J13" i="6"/>
  <c r="I13" i="6"/>
  <c r="G13" i="6"/>
  <c r="K15" i="4"/>
  <c r="J15" i="4"/>
  <c r="A39" i="6"/>
  <c r="I38" i="6"/>
  <c r="H38" i="6"/>
  <c r="G38" i="6"/>
  <c r="F38" i="6"/>
  <c r="E38" i="6"/>
  <c r="L38" i="6"/>
  <c r="D38" i="6"/>
  <c r="K38" i="6"/>
  <c r="C38" i="6"/>
  <c r="J38" i="6"/>
  <c r="B38" i="6"/>
  <c r="H22" i="3" l="1"/>
  <c r="E23" i="3" s="1"/>
  <c r="I22" i="3"/>
  <c r="F39" i="6"/>
  <c r="A40" i="6"/>
  <c r="E39" i="6"/>
  <c r="L39" i="6"/>
  <c r="D39" i="6"/>
  <c r="K39" i="6"/>
  <c r="C39" i="6"/>
  <c r="J39" i="6"/>
  <c r="B39" i="6"/>
  <c r="I39" i="6"/>
  <c r="H39" i="6"/>
  <c r="G39" i="6"/>
  <c r="L15" i="4"/>
  <c r="G16" i="4"/>
  <c r="K14" i="6"/>
  <c r="C14" i="6"/>
  <c r="J14" i="6"/>
  <c r="B14" i="6"/>
  <c r="E14" i="6"/>
  <c r="A15" i="6"/>
  <c r="D14" i="6"/>
  <c r="L14" i="6"/>
  <c r="I14" i="6"/>
  <c r="H14" i="6"/>
  <c r="G14" i="6"/>
  <c r="F14" i="6"/>
  <c r="H23" i="3" l="1"/>
  <c r="E24" i="3" s="1"/>
  <c r="I23" i="3"/>
  <c r="J16" i="4"/>
  <c r="K16" i="4"/>
  <c r="A16" i="6"/>
  <c r="H15" i="6"/>
  <c r="G15" i="6"/>
  <c r="D15" i="6"/>
  <c r="C15" i="6"/>
  <c r="L15" i="6"/>
  <c r="B15" i="6"/>
  <c r="K15" i="6"/>
  <c r="F15" i="6"/>
  <c r="J15" i="6"/>
  <c r="I15" i="6"/>
  <c r="E15" i="6"/>
  <c r="K40" i="6"/>
  <c r="C40" i="6"/>
  <c r="J40" i="6"/>
  <c r="B40" i="6"/>
  <c r="A41" i="6"/>
  <c r="I40" i="6"/>
  <c r="H40" i="6"/>
  <c r="G40" i="6"/>
  <c r="F40" i="6"/>
  <c r="E40" i="6"/>
  <c r="L40" i="6"/>
  <c r="D40" i="6"/>
  <c r="H24" i="3" l="1"/>
  <c r="I24" i="3"/>
  <c r="H41" i="6"/>
  <c r="G41" i="6"/>
  <c r="F41" i="6"/>
  <c r="A42" i="6"/>
  <c r="E41" i="6"/>
  <c r="L41" i="6"/>
  <c r="D41" i="6"/>
  <c r="K41" i="6"/>
  <c r="C41" i="6"/>
  <c r="J41" i="6"/>
  <c r="B41" i="6"/>
  <c r="I41" i="6"/>
  <c r="E16" i="6"/>
  <c r="A17" i="6"/>
  <c r="L16" i="6"/>
  <c r="D16" i="6"/>
  <c r="C16" i="6"/>
  <c r="B16" i="6"/>
  <c r="K16" i="6"/>
  <c r="J16" i="6"/>
  <c r="I16" i="6"/>
  <c r="H16" i="6"/>
  <c r="F16" i="6"/>
  <c r="G16" i="6"/>
  <c r="L16" i="4"/>
  <c r="G17" i="4"/>
  <c r="E42" i="6" l="1"/>
  <c r="L42" i="6"/>
  <c r="D42" i="6"/>
  <c r="K42" i="6"/>
  <c r="C42" i="6"/>
  <c r="J42" i="6"/>
  <c r="B42" i="6"/>
  <c r="A43" i="6"/>
  <c r="I42" i="6"/>
  <c r="H42" i="6"/>
  <c r="G42" i="6"/>
  <c r="F42" i="6"/>
  <c r="J17" i="6"/>
  <c r="B17" i="6"/>
  <c r="I17" i="6"/>
  <c r="D17" i="6"/>
  <c r="C17" i="6"/>
  <c r="A18" i="6"/>
  <c r="L17" i="6"/>
  <c r="K17" i="6"/>
  <c r="H17" i="6"/>
  <c r="G17" i="6"/>
  <c r="F17" i="6"/>
  <c r="E17" i="6"/>
  <c r="J17" i="4"/>
  <c r="K17" i="4"/>
  <c r="J43" i="6" l="1"/>
  <c r="B43" i="6"/>
  <c r="I43" i="6"/>
  <c r="H43" i="6"/>
  <c r="G43" i="6"/>
  <c r="F43" i="6"/>
  <c r="A44" i="6"/>
  <c r="E43" i="6"/>
  <c r="L43" i="6"/>
  <c r="D43" i="6"/>
  <c r="K43" i="6"/>
  <c r="C43" i="6"/>
  <c r="G18" i="6"/>
  <c r="F18" i="6"/>
  <c r="C18" i="6"/>
  <c r="L18" i="6"/>
  <c r="B18" i="6"/>
  <c r="E18" i="6"/>
  <c r="K18" i="6"/>
  <c r="A19" i="6"/>
  <c r="J18" i="6"/>
  <c r="I18" i="6"/>
  <c r="H18" i="6"/>
  <c r="D18" i="6"/>
  <c r="L17" i="4"/>
  <c r="G18" i="4"/>
  <c r="G44" i="6" l="1"/>
  <c r="F44" i="6"/>
  <c r="E44" i="6"/>
  <c r="L44" i="6"/>
  <c r="D44" i="6"/>
  <c r="K44" i="6"/>
  <c r="C44" i="6"/>
  <c r="J44" i="6"/>
  <c r="B44" i="6"/>
  <c r="A45" i="6"/>
  <c r="I44" i="6"/>
  <c r="H44" i="6"/>
  <c r="L19" i="6"/>
  <c r="D19" i="6"/>
  <c r="K19" i="6"/>
  <c r="C19" i="6"/>
  <c r="B19" i="6"/>
  <c r="J19" i="6"/>
  <c r="I19" i="6"/>
  <c r="A20" i="6"/>
  <c r="H19" i="6"/>
  <c r="G19" i="6"/>
  <c r="E19" i="6"/>
  <c r="F19" i="6"/>
  <c r="J18" i="4"/>
  <c r="K18" i="4"/>
  <c r="I20" i="6" l="1"/>
  <c r="H20" i="6"/>
  <c r="C20" i="6"/>
  <c r="L20" i="6"/>
  <c r="B20" i="6"/>
  <c r="K20" i="6"/>
  <c r="J20" i="6"/>
  <c r="G20" i="6"/>
  <c r="A21" i="6"/>
  <c r="F20" i="6"/>
  <c r="E20" i="6"/>
  <c r="D20" i="6"/>
  <c r="L45" i="6"/>
  <c r="D45" i="6"/>
  <c r="K45" i="6"/>
  <c r="C45" i="6"/>
  <c r="J45" i="6"/>
  <c r="B45" i="6"/>
  <c r="I45" i="6"/>
  <c r="H45" i="6"/>
  <c r="G45" i="6"/>
  <c r="F45" i="6"/>
  <c r="A46" i="6"/>
  <c r="E45" i="6"/>
  <c r="G19" i="4"/>
  <c r="L18" i="4"/>
  <c r="A47" i="6" l="1"/>
  <c r="I46" i="6"/>
  <c r="H46" i="6"/>
  <c r="G46" i="6"/>
  <c r="F46" i="6"/>
  <c r="E46" i="6"/>
  <c r="L46" i="6"/>
  <c r="D46" i="6"/>
  <c r="K46" i="6"/>
  <c r="C46" i="6"/>
  <c r="J46" i="6"/>
  <c r="B46" i="6"/>
  <c r="K19" i="4"/>
  <c r="J19" i="4"/>
  <c r="F21" i="6"/>
  <c r="E21" i="6"/>
  <c r="L21" i="6"/>
  <c r="B21" i="6"/>
  <c r="K21" i="6"/>
  <c r="D21" i="6"/>
  <c r="J21" i="6"/>
  <c r="I21" i="6"/>
  <c r="A22" i="6"/>
  <c r="H21" i="6"/>
  <c r="G21" i="6"/>
  <c r="C21" i="6"/>
  <c r="L19" i="4" l="1"/>
  <c r="G20" i="4"/>
  <c r="K22" i="6"/>
  <c r="C22" i="6"/>
  <c r="J22" i="6"/>
  <c r="B22" i="6"/>
  <c r="L22" i="6"/>
  <c r="I22" i="6"/>
  <c r="H22" i="6"/>
  <c r="G22" i="6"/>
  <c r="F22" i="6"/>
  <c r="A23" i="6"/>
  <c r="D22" i="6"/>
  <c r="E22" i="6"/>
  <c r="F47" i="6"/>
  <c r="A48" i="6"/>
  <c r="E47" i="6"/>
  <c r="L47" i="6"/>
  <c r="D47" i="6"/>
  <c r="K47" i="6"/>
  <c r="C47" i="6"/>
  <c r="J47" i="6"/>
  <c r="B47" i="6"/>
  <c r="I47" i="6"/>
  <c r="H47" i="6"/>
  <c r="G47" i="6"/>
  <c r="K48" i="6" l="1"/>
  <c r="C48" i="6"/>
  <c r="J48" i="6"/>
  <c r="B48" i="6"/>
  <c r="A49" i="6"/>
  <c r="I48" i="6"/>
  <c r="H48" i="6"/>
  <c r="G48" i="6"/>
  <c r="F48" i="6"/>
  <c r="E48" i="6"/>
  <c r="L48" i="6"/>
  <c r="D48" i="6"/>
  <c r="A24" i="6"/>
  <c r="H23" i="6"/>
  <c r="G23" i="6"/>
  <c r="L23" i="6"/>
  <c r="B23" i="6"/>
  <c r="K23" i="6"/>
  <c r="J23" i="6"/>
  <c r="I23" i="6"/>
  <c r="F23" i="6"/>
  <c r="E23" i="6"/>
  <c r="D23" i="6"/>
  <c r="C23" i="6"/>
  <c r="J20" i="4"/>
  <c r="K20" i="4"/>
  <c r="E24" i="6" l="1"/>
  <c r="L24" i="6"/>
  <c r="D24" i="6"/>
  <c r="K24" i="6"/>
  <c r="C24" i="6"/>
  <c r="J24" i="6"/>
  <c r="I24" i="6"/>
  <c r="H24" i="6"/>
  <c r="G24" i="6"/>
  <c r="F24" i="6"/>
  <c r="B24" i="6"/>
  <c r="G49" i="6"/>
  <c r="F49" i="6"/>
  <c r="E49" i="6"/>
  <c r="L49" i="6"/>
  <c r="D49" i="6"/>
  <c r="K49" i="6"/>
  <c r="J49" i="6"/>
  <c r="C49" i="6"/>
  <c r="I49" i="6"/>
  <c r="B49" i="6"/>
  <c r="H49" i="6"/>
  <c r="L20" i="4"/>
  <c r="G21" i="4"/>
  <c r="K21" i="4" l="1"/>
  <c r="J21" i="4"/>
  <c r="L21" i="4" s="1"/>
</calcChain>
</file>

<file path=xl/sharedStrings.xml><?xml version="1.0" encoding="utf-8"?>
<sst xmlns="http://schemas.openxmlformats.org/spreadsheetml/2006/main" count="138" uniqueCount="91">
  <si>
    <t>Probability</t>
  </si>
  <si>
    <t>Patient Arrivals Lookup</t>
  </si>
  <si>
    <t>Doctor Service Lookup</t>
  </si>
  <si>
    <t>Customer Number</t>
  </si>
  <si>
    <t>Arrival Random</t>
  </si>
  <si>
    <t>Arrival Time</t>
  </si>
  <si>
    <t>Interarrival Time</t>
  </si>
  <si>
    <t>Service Starts</t>
  </si>
  <si>
    <t>Service Random</t>
  </si>
  <si>
    <t>Service Time</t>
  </si>
  <si>
    <t>Service Finish</t>
  </si>
  <si>
    <t>Duration in Queue</t>
  </si>
  <si>
    <t>Length of Queue</t>
  </si>
  <si>
    <t>Time Between Patients</t>
  </si>
  <si>
    <t>Doctor's Consultation Time</t>
  </si>
  <si>
    <t>Patient</t>
  </si>
  <si>
    <t>Doctor</t>
  </si>
  <si>
    <t>90535789927965948454</t>
  </si>
  <si>
    <t>12317117157399261820</t>
  </si>
  <si>
    <t>Lookup Values</t>
  </si>
  <si>
    <t>Simulation of the arrival and service of the first 10 customers.</t>
  </si>
  <si>
    <t>The mean arrival rate for the system (lambda)</t>
  </si>
  <si>
    <t>The mean service rate for each channel (mu)</t>
  </si>
  <si>
    <t>The probability that no units are in the system (Po)</t>
  </si>
  <si>
    <t>The average number of units in the waiting line (Lq)</t>
  </si>
  <si>
    <t>The average number of units in the system (L)</t>
  </si>
  <si>
    <t>The average time a unit spends in the waiting line (Wq)</t>
  </si>
  <si>
    <t>The average time a unit spends in the system (W)</t>
  </si>
  <si>
    <t>Operating Characteristics</t>
  </si>
  <si>
    <t>Probability of n units in the system (Pn)</t>
  </si>
  <si>
    <t>Number of units in the system (n)</t>
  </si>
  <si>
    <t>The probability that a unit arriving has to wait for service (Pw)</t>
  </si>
  <si>
    <t>Probabilities for the Poisson Distribution</t>
  </si>
  <si>
    <t>x</t>
  </si>
  <si>
    <t>Input Parameters for M/M/1 Queue</t>
  </si>
  <si>
    <t>Server utilisation factor (rho)</t>
  </si>
  <si>
    <t>The standard deviation of service time (sigma)</t>
  </si>
  <si>
    <t>q</t>
  </si>
  <si>
    <t>Cumulative probabilities for the Poisson Distribution</t>
  </si>
  <si>
    <t>The probability that a unit has to wait (Pw)</t>
  </si>
  <si>
    <t>The average time a unit is in the waiting line (Wq)</t>
  </si>
  <si>
    <t>Input Parameters for M/G/1 Queue</t>
  </si>
  <si>
    <t>Input Parameters for M/M/S Queue</t>
  </si>
  <si>
    <t>The number of channels (S)</t>
  </si>
  <si>
    <t>Economic Analysis of an M/M/S Queue</t>
  </si>
  <si>
    <t>Cost $/hour Server</t>
  </si>
  <si>
    <t>Cost $/hour Customer</t>
  </si>
  <si>
    <t>Economic Analysis</t>
  </si>
  <si>
    <t>Cost of Service $/hour</t>
  </si>
  <si>
    <t>Cost of Waiting $/hour</t>
  </si>
  <si>
    <t>Total Cost of System $/hour</t>
  </si>
  <si>
    <t>Hand simulation of patients in a Doctor's Surgery</t>
  </si>
  <si>
    <t>Hand simulation of patients in a Doctor's Surgery.</t>
  </si>
  <si>
    <t>Random Number</t>
  </si>
  <si>
    <t>Head or Tail</t>
  </si>
  <si>
    <t>Roll of Die</t>
  </si>
  <si>
    <t>Generating Random Numbers with Excel:</t>
  </si>
  <si>
    <t>Distribution</t>
  </si>
  <si>
    <t>Formula</t>
  </si>
  <si>
    <t>Example</t>
  </si>
  <si>
    <t>Produces</t>
  </si>
  <si>
    <t>Discrete Uniform</t>
  </si>
  <si>
    <t>"=INT(n*RAND())+a"</t>
  </si>
  <si>
    <t>n=6, a=1</t>
  </si>
  <si>
    <t>Continuous Uniform</t>
  </si>
  <si>
    <t>"=a+(b-a)*RAND()"</t>
  </si>
  <si>
    <t>a=1, b=6</t>
  </si>
  <si>
    <t>Symmetric Triangular</t>
  </si>
  <si>
    <t>"=a+(b-a)*(RAND()+RAND())/2"</t>
  </si>
  <si>
    <t>a=10, b=20</t>
  </si>
  <si>
    <t>Normal</t>
  </si>
  <si>
    <t>"=NORMINV(RAND(), mu,sigma)"</t>
  </si>
  <si>
    <t>mu=30, sigma=2</t>
  </si>
  <si>
    <t>Exponential</t>
  </si>
  <si>
    <t>"=-1/lambda*LN(RAND())"</t>
  </si>
  <si>
    <t>lambda=2</t>
  </si>
  <si>
    <t>stock level</t>
  </si>
  <si>
    <t>customers per day</t>
  </si>
  <si>
    <t>probability</t>
  </si>
  <si>
    <t>Cumulative probability</t>
  </si>
  <si>
    <t>selling price</t>
  </si>
  <si>
    <t>opportunity loss</t>
  </si>
  <si>
    <t>return price</t>
  </si>
  <si>
    <t>average daily profit</t>
  </si>
  <si>
    <t>ave. daily profit</t>
  </si>
  <si>
    <t>100 Day Simulation</t>
  </si>
  <si>
    <t>Day</t>
  </si>
  <si>
    <t>Demand</t>
  </si>
  <si>
    <t>Profit</t>
  </si>
  <si>
    <t>Simulate the arrival and service of the first 10 customers using the random number streams and taking two digits at a time: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</si>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</sst>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_(* #,##0_);_(* \(#,##0\);_(* &quot;-&quot;??_);_(@_)"/>
    <numFmt numFmtId="167" formatCode="0.0"/>
    <numFmt numFmtId="168" formatCode="0.000"/>
  </numFmts>
  <fonts count="9" x14ac:knownFonts="1">
    <font>
      <sz val="11"/>
      <name val="Times New Roman"/>
    </font>
    <font>
      <sz val="11"/>
      <name val="Times New Roman"/>
      <family val="1"/>
    </font>
    <font>
      <sz val="11"/>
      <name val="Times New Roman"/>
      <family val="1"/>
    </font>
    <font>
      <sz val="11"/>
      <name val="Symbol"/>
      <family val="1"/>
      <charset val="2"/>
    </font>
    <font>
      <sz val="13"/>
      <name val="Times New Roman"/>
      <family val="1"/>
    </font>
    <font>
      <i/>
      <sz val="13"/>
      <name val="Times New Roman"/>
      <family val="1"/>
    </font>
    <font>
      <i/>
      <sz val="13"/>
      <name val="Times New Roman"/>
      <family val="1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quotePrefix="1" applyBorder="1" applyAlignment="1">
      <alignment horizontal="left" vertical="center"/>
    </xf>
    <xf numFmtId="0" fontId="0" fillId="0" borderId="1" xfId="0" applyBorder="1" applyAlignment="1">
      <alignment wrapText="1"/>
    </xf>
    <xf numFmtId="2" fontId="0" fillId="0" borderId="1" xfId="0" applyNumberFormat="1" applyBorder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1" fontId="2" fillId="0" borderId="1" xfId="0" applyNumberFormat="1" applyFont="1" applyBorder="1" applyAlignment="1">
      <alignment horizontal="right"/>
    </xf>
    <xf numFmtId="167" fontId="2" fillId="0" borderId="1" xfId="0" applyNumberFormat="1" applyFont="1" applyBorder="1"/>
    <xf numFmtId="1" fontId="2" fillId="0" borderId="1" xfId="0" applyNumberFormat="1" applyFont="1" applyBorder="1"/>
    <xf numFmtId="1" fontId="2" fillId="0" borderId="0" xfId="0" applyNumberFormat="1" applyFont="1"/>
    <xf numFmtId="165" fontId="2" fillId="0" borderId="1" xfId="0" applyNumberFormat="1" applyFont="1" applyBorder="1"/>
    <xf numFmtId="0" fontId="3" fillId="0" borderId="0" xfId="0" applyFont="1" applyAlignment="1">
      <alignment horizontal="center"/>
    </xf>
    <xf numFmtId="0" fontId="4" fillId="0" borderId="0" xfId="0" applyFont="1" applyBorder="1" applyAlignment="1"/>
    <xf numFmtId="0" fontId="5" fillId="0" borderId="0" xfId="0" applyFont="1" applyBorder="1" applyAlignment="1"/>
    <xf numFmtId="0" fontId="4" fillId="0" borderId="1" xfId="0" applyFont="1" applyBorder="1" applyAlignment="1"/>
    <xf numFmtId="0" fontId="5" fillId="0" borderId="1" xfId="0" applyFont="1" applyBorder="1" applyAlignment="1"/>
    <xf numFmtId="166" fontId="4" fillId="0" borderId="0" xfId="1" applyNumberFormat="1" applyFont="1" applyBorder="1" applyAlignment="1"/>
    <xf numFmtId="2" fontId="4" fillId="0" borderId="1" xfId="0" applyNumberFormat="1" applyFont="1" applyBorder="1" applyAlignment="1"/>
    <xf numFmtId="2" fontId="5" fillId="0" borderId="1" xfId="0" applyNumberFormat="1" applyFont="1" applyBorder="1" applyAlignment="1"/>
    <xf numFmtId="165" fontId="4" fillId="0" borderId="0" xfId="0" applyNumberFormat="1" applyFont="1" applyBorder="1" applyAlignment="1"/>
    <xf numFmtId="0" fontId="4" fillId="0" borderId="1" xfId="0" applyFont="1" applyFill="1" applyBorder="1" applyAlignment="1"/>
    <xf numFmtId="168" fontId="4" fillId="0" borderId="0" xfId="0" applyNumberFormat="1" applyFont="1" applyBorder="1" applyAlignment="1"/>
    <xf numFmtId="0" fontId="6" fillId="0" borderId="1" xfId="0" applyFont="1" applyBorder="1" applyAlignment="1"/>
    <xf numFmtId="2" fontId="6" fillId="0" borderId="1" xfId="0" applyNumberFormat="1" applyFont="1" applyBorder="1" applyAlignment="1"/>
    <xf numFmtId="168" fontId="4" fillId="0" borderId="1" xfId="0" applyNumberFormat="1" applyFont="1" applyBorder="1" applyAlignment="1"/>
    <xf numFmtId="0" fontId="4" fillId="0" borderId="0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168" fontId="4" fillId="0" borderId="2" xfId="0" applyNumberFormat="1" applyFont="1" applyBorder="1" applyAlignment="1">
      <alignment vertical="center"/>
    </xf>
    <xf numFmtId="168" fontId="4" fillId="0" borderId="1" xfId="0" applyNumberFormat="1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165" fontId="4" fillId="0" borderId="0" xfId="0" applyNumberFormat="1" applyFont="1" applyBorder="1" applyAlignment="1">
      <alignment vertical="center"/>
    </xf>
    <xf numFmtId="2" fontId="4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4" xfId="0" applyFill="1" applyBorder="1"/>
    <xf numFmtId="0" fontId="0" fillId="0" borderId="4" xfId="0" applyBorder="1" applyAlignment="1">
      <alignment horizontal="center"/>
    </xf>
    <xf numFmtId="0" fontId="7" fillId="3" borderId="1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0" fillId="3" borderId="1" xfId="0" applyFill="1" applyBorder="1"/>
    <xf numFmtId="0" fontId="0" fillId="4" borderId="1" xfId="0" applyFill="1" applyBorder="1"/>
    <xf numFmtId="0" fontId="8" fillId="5" borderId="1" xfId="0" applyFont="1" applyFill="1" applyBorder="1"/>
    <xf numFmtId="0" fontId="0" fillId="5" borderId="1" xfId="0" applyFill="1" applyBorder="1"/>
    <xf numFmtId="0" fontId="1" fillId="0" borderId="0" xfId="0" applyFont="1" applyBorder="1" applyAlignment="1">
      <alignment horizontal="left" vertical="center"/>
    </xf>
    <xf numFmtId="0" fontId="1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5049924446683"/>
          <c:y val="0.11682269645949653"/>
          <c:w val="0.84951556990903976"/>
          <c:h val="0.77102979663267701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Newsboy!$H$15:$H$20</c:f>
              <c:numCache>
                <c:formatCode>General</c:formatCode>
                <c:ptCount val="6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</c:numCache>
            </c:numRef>
          </c:cat>
          <c:val>
            <c:numRef>
              <c:f>Newsboy!$I$15:$I$20</c:f>
              <c:numCache>
                <c:formatCode>General</c:formatCode>
                <c:ptCount val="6"/>
                <c:pt idx="0">
                  <c:v>-3.9999999999999508E-2</c:v>
                </c:pt>
                <c:pt idx="1">
                  <c:v>0.58850000000000124</c:v>
                </c:pt>
                <c:pt idx="2">
                  <c:v>1.4890000000000003</c:v>
                </c:pt>
                <c:pt idx="3">
                  <c:v>1.9395000000000016</c:v>
                </c:pt>
                <c:pt idx="4">
                  <c:v>2.2345000000000015</c:v>
                </c:pt>
                <c:pt idx="5">
                  <c:v>2.226500000000001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2-4181-B7DF-07D223E22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003880"/>
        <c:axId val="1"/>
        <c:extLst>
          <c:ext xmlns:c15="http://schemas.microsoft.com/office/drawing/2012/chart" uri="{02D57815-91ED-43cb-92C2-25804820EDAC}">
            <c15:filteredBarSeries>
              <c15:ser>
                <c:idx val="0"/>
                <c:order val="1"/>
                <c:spPr>
                  <a:solidFill>
                    <a:srgbClr val="8080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Newsboy!$H$15:$H$20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25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28</c:v>
                      </c:pt>
                      <c:pt idx="4">
                        <c:v>29</c:v>
                      </c:pt>
                      <c:pt idx="5">
                        <c:v>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Newsboy!$H$15:$H$20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25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28</c:v>
                      </c:pt>
                      <c:pt idx="4">
                        <c:v>29</c:v>
                      </c:pt>
                      <c:pt idx="5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F97-46BD-AD0F-EF28E28EAACB}"/>
                  </c:ext>
                </c:extLst>
              </c15:ser>
            </c15:filteredBarSeries>
          </c:ext>
        </c:extLst>
      </c:barChart>
      <c:catAx>
        <c:axId val="39900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0388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21</xdr:row>
      <xdr:rowOff>123825</xdr:rowOff>
    </xdr:from>
    <xdr:to>
      <xdr:col>9</xdr:col>
      <xdr:colOff>180975</xdr:colOff>
      <xdr:row>34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E15"/>
  <sheetViews>
    <sheetView workbookViewId="0">
      <selection activeCell="G12" sqref="G12"/>
    </sheetView>
  </sheetViews>
  <sheetFormatPr defaultColWidth="11.109375" defaultRowHeight="13.8" x14ac:dyDescent="0.25"/>
  <cols>
    <col min="1" max="2" width="11.109375" style="48" customWidth="1"/>
    <col min="3" max="4" width="11.109375" customWidth="1"/>
    <col min="5" max="5" width="11.109375" style="48" customWidth="1"/>
    <col min="257" max="261" width="11.109375" customWidth="1"/>
    <col min="513" max="517" width="11.109375" customWidth="1"/>
    <col min="769" max="773" width="11.109375" customWidth="1"/>
    <col min="1025" max="1029" width="11.109375" customWidth="1"/>
    <col min="1281" max="1285" width="11.109375" customWidth="1"/>
    <col min="1537" max="1541" width="11.109375" customWidth="1"/>
    <col min="1793" max="1797" width="11.109375" customWidth="1"/>
    <col min="2049" max="2053" width="11.109375" customWidth="1"/>
    <col min="2305" max="2309" width="11.109375" customWidth="1"/>
    <col min="2561" max="2565" width="11.109375" customWidth="1"/>
    <col min="2817" max="2821" width="11.109375" customWidth="1"/>
    <col min="3073" max="3077" width="11.109375" customWidth="1"/>
    <col min="3329" max="3333" width="11.109375" customWidth="1"/>
    <col min="3585" max="3589" width="11.109375" customWidth="1"/>
    <col min="3841" max="3845" width="11.109375" customWidth="1"/>
    <col min="4097" max="4101" width="11.109375" customWidth="1"/>
    <col min="4353" max="4357" width="11.109375" customWidth="1"/>
    <col min="4609" max="4613" width="11.109375" customWidth="1"/>
    <col min="4865" max="4869" width="11.109375" customWidth="1"/>
    <col min="5121" max="5125" width="11.109375" customWidth="1"/>
    <col min="5377" max="5381" width="11.109375" customWidth="1"/>
    <col min="5633" max="5637" width="11.109375" customWidth="1"/>
    <col min="5889" max="5893" width="11.109375" customWidth="1"/>
    <col min="6145" max="6149" width="11.109375" customWidth="1"/>
    <col min="6401" max="6405" width="11.109375" customWidth="1"/>
    <col min="6657" max="6661" width="11.109375" customWidth="1"/>
    <col min="6913" max="6917" width="11.109375" customWidth="1"/>
    <col min="7169" max="7173" width="11.109375" customWidth="1"/>
    <col min="7425" max="7429" width="11.109375" customWidth="1"/>
    <col min="7681" max="7685" width="11.109375" customWidth="1"/>
    <col min="7937" max="7941" width="11.109375" customWidth="1"/>
    <col min="8193" max="8197" width="11.109375" customWidth="1"/>
    <col min="8449" max="8453" width="11.109375" customWidth="1"/>
    <col min="8705" max="8709" width="11.109375" customWidth="1"/>
    <col min="8961" max="8965" width="11.109375" customWidth="1"/>
    <col min="9217" max="9221" width="11.109375" customWidth="1"/>
    <col min="9473" max="9477" width="11.109375" customWidth="1"/>
    <col min="9729" max="9733" width="11.109375" customWidth="1"/>
    <col min="9985" max="9989" width="11.109375" customWidth="1"/>
    <col min="10241" max="10245" width="11.109375" customWidth="1"/>
    <col min="10497" max="10501" width="11.109375" customWidth="1"/>
    <col min="10753" max="10757" width="11.109375" customWidth="1"/>
    <col min="11009" max="11013" width="11.109375" customWidth="1"/>
    <col min="11265" max="11269" width="11.109375" customWidth="1"/>
    <col min="11521" max="11525" width="11.109375" customWidth="1"/>
    <col min="11777" max="11781" width="11.109375" customWidth="1"/>
    <col min="12033" max="12037" width="11.109375" customWidth="1"/>
    <col min="12289" max="12293" width="11.109375" customWidth="1"/>
    <col min="12545" max="12549" width="11.109375" customWidth="1"/>
    <col min="12801" max="12805" width="11.109375" customWidth="1"/>
    <col min="13057" max="13061" width="11.109375" customWidth="1"/>
    <col min="13313" max="13317" width="11.109375" customWidth="1"/>
    <col min="13569" max="13573" width="11.109375" customWidth="1"/>
    <col min="13825" max="13829" width="11.109375" customWidth="1"/>
    <col min="14081" max="14085" width="11.109375" customWidth="1"/>
    <col min="14337" max="14341" width="11.109375" customWidth="1"/>
    <col min="14593" max="14597" width="11.109375" customWidth="1"/>
    <col min="14849" max="14853" width="11.109375" customWidth="1"/>
    <col min="15105" max="15109" width="11.109375" customWidth="1"/>
    <col min="15361" max="15365" width="11.109375" customWidth="1"/>
    <col min="15617" max="15621" width="11.109375" customWidth="1"/>
    <col min="15873" max="15877" width="11.109375" customWidth="1"/>
    <col min="16129" max="16133" width="11.109375" customWidth="1"/>
  </cols>
  <sheetData>
    <row r="2" spans="1:5" ht="27.6" x14ac:dyDescent="0.25">
      <c r="A2" s="46" t="s">
        <v>53</v>
      </c>
      <c r="B2" s="46" t="s">
        <v>54</v>
      </c>
      <c r="E2" s="47" t="s">
        <v>55</v>
      </c>
    </row>
    <row r="3" spans="1:5" x14ac:dyDescent="0.25">
      <c r="A3" s="47">
        <f ca="1">RAND()</f>
        <v>0.63467966499000539</v>
      </c>
      <c r="B3" s="47">
        <f ca="1">IF(A3&lt;0.5,0,1)</f>
        <v>1</v>
      </c>
      <c r="E3" s="47">
        <f ca="1">INT(6*RAND( ))+1</f>
        <v>3</v>
      </c>
    </row>
    <row r="4" spans="1:5" x14ac:dyDescent="0.25">
      <c r="A4" s="47">
        <f t="shared" ref="A4:A15" ca="1" si="0">RAND()</f>
        <v>0.9814356275629571</v>
      </c>
      <c r="B4" s="47">
        <f t="shared" ref="B4:B15" ca="1" si="1">IF(A4&lt;0.5,0,1)</f>
        <v>1</v>
      </c>
      <c r="E4" s="47">
        <f t="shared" ref="E4:E15" ca="1" si="2">INT(6*RAND( ))+1</f>
        <v>6</v>
      </c>
    </row>
    <row r="5" spans="1:5" x14ac:dyDescent="0.25">
      <c r="A5" s="47">
        <f t="shared" ca="1" si="0"/>
        <v>0.55673343082705018</v>
      </c>
      <c r="B5" s="47">
        <f t="shared" ca="1" si="1"/>
        <v>1</v>
      </c>
      <c r="E5" s="47">
        <f t="shared" ca="1" si="2"/>
        <v>2</v>
      </c>
    </row>
    <row r="6" spans="1:5" x14ac:dyDescent="0.25">
      <c r="A6" s="47">
        <f t="shared" ca="1" si="0"/>
        <v>3.5422366840297648E-2</v>
      </c>
      <c r="B6" s="47">
        <f t="shared" ca="1" si="1"/>
        <v>0</v>
      </c>
      <c r="E6" s="47">
        <f t="shared" ca="1" si="2"/>
        <v>6</v>
      </c>
    </row>
    <row r="7" spans="1:5" x14ac:dyDescent="0.25">
      <c r="A7" s="47">
        <f t="shared" ca="1" si="0"/>
        <v>0.5038222302492763</v>
      </c>
      <c r="B7" s="47">
        <f t="shared" ca="1" si="1"/>
        <v>1</v>
      </c>
      <c r="E7" s="47">
        <f t="shared" ca="1" si="2"/>
        <v>3</v>
      </c>
    </row>
    <row r="8" spans="1:5" x14ac:dyDescent="0.25">
      <c r="A8" s="48">
        <f t="shared" ca="1" si="0"/>
        <v>0.91011204779331212</v>
      </c>
      <c r="B8" s="48">
        <f t="shared" ca="1" si="1"/>
        <v>1</v>
      </c>
      <c r="E8" s="48">
        <f t="shared" ca="1" si="2"/>
        <v>6</v>
      </c>
    </row>
    <row r="9" spans="1:5" x14ac:dyDescent="0.25">
      <c r="A9" s="48">
        <f t="shared" ca="1" si="0"/>
        <v>0.58220944764348259</v>
      </c>
      <c r="B9" s="48">
        <f t="shared" ca="1" si="1"/>
        <v>1</v>
      </c>
      <c r="E9" s="48">
        <f t="shared" ca="1" si="2"/>
        <v>6</v>
      </c>
    </row>
    <row r="10" spans="1:5" x14ac:dyDescent="0.25">
      <c r="A10" s="48">
        <f t="shared" ca="1" si="0"/>
        <v>0.3450675796467666</v>
      </c>
      <c r="B10" s="48">
        <f t="shared" ca="1" si="1"/>
        <v>0</v>
      </c>
      <c r="E10" s="48">
        <f t="shared" ca="1" si="2"/>
        <v>6</v>
      </c>
    </row>
    <row r="11" spans="1:5" x14ac:dyDescent="0.25">
      <c r="A11" s="48">
        <f t="shared" ca="1" si="0"/>
        <v>0.83921413465206052</v>
      </c>
      <c r="B11" s="48">
        <f t="shared" ca="1" si="1"/>
        <v>1</v>
      </c>
      <c r="E11" s="48">
        <f t="shared" ca="1" si="2"/>
        <v>3</v>
      </c>
    </row>
    <row r="12" spans="1:5" x14ac:dyDescent="0.25">
      <c r="A12" s="48">
        <f t="shared" ca="1" si="0"/>
        <v>0.5422966817409115</v>
      </c>
      <c r="B12" s="48">
        <f t="shared" ca="1" si="1"/>
        <v>1</v>
      </c>
      <c r="E12" s="48">
        <f t="shared" ca="1" si="2"/>
        <v>2</v>
      </c>
    </row>
    <row r="13" spans="1:5" x14ac:dyDescent="0.25">
      <c r="A13" s="48">
        <f t="shared" ca="1" si="0"/>
        <v>0.911129642123228</v>
      </c>
      <c r="B13" s="48">
        <f t="shared" ca="1" si="1"/>
        <v>1</v>
      </c>
      <c r="E13" s="48">
        <f t="shared" ca="1" si="2"/>
        <v>1</v>
      </c>
    </row>
    <row r="14" spans="1:5" x14ac:dyDescent="0.25">
      <c r="A14" s="48">
        <f t="shared" ca="1" si="0"/>
        <v>0.10982648423826091</v>
      </c>
      <c r="B14" s="48">
        <f t="shared" ca="1" si="1"/>
        <v>0</v>
      </c>
      <c r="E14" s="48">
        <f t="shared" ca="1" si="2"/>
        <v>3</v>
      </c>
    </row>
    <row r="15" spans="1:5" x14ac:dyDescent="0.25">
      <c r="A15" s="48">
        <f t="shared" ca="1" si="0"/>
        <v>0.11238045619966874</v>
      </c>
      <c r="B15" s="48">
        <f t="shared" ca="1" si="1"/>
        <v>0</v>
      </c>
      <c r="E15" s="48">
        <f t="shared" ca="1" si="2"/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2"/>
  <sheetViews>
    <sheetView workbookViewId="0">
      <selection activeCell="H15" sqref="H15"/>
    </sheetView>
  </sheetViews>
  <sheetFormatPr defaultRowHeight="13.8" x14ac:dyDescent="0.25"/>
  <cols>
    <col min="1" max="1" width="18.5546875" customWidth="1"/>
    <col min="2" max="2" width="28.6640625" bestFit="1" customWidth="1"/>
    <col min="3" max="3" width="15.109375" bestFit="1" customWidth="1"/>
    <col min="257" max="257" width="18.5546875" customWidth="1"/>
    <col min="258" max="258" width="28.6640625" bestFit="1" customWidth="1"/>
    <col min="259" max="259" width="15.109375" bestFit="1" customWidth="1"/>
    <col min="513" max="513" width="18.5546875" customWidth="1"/>
    <col min="514" max="514" width="28.6640625" bestFit="1" customWidth="1"/>
    <col min="515" max="515" width="15.109375" bestFit="1" customWidth="1"/>
    <col min="769" max="769" width="18.5546875" customWidth="1"/>
    <col min="770" max="770" width="28.6640625" bestFit="1" customWidth="1"/>
    <col min="771" max="771" width="15.109375" bestFit="1" customWidth="1"/>
    <col min="1025" max="1025" width="18.5546875" customWidth="1"/>
    <col min="1026" max="1026" width="28.6640625" bestFit="1" customWidth="1"/>
    <col min="1027" max="1027" width="15.109375" bestFit="1" customWidth="1"/>
    <col min="1281" max="1281" width="18.5546875" customWidth="1"/>
    <col min="1282" max="1282" width="28.6640625" bestFit="1" customWidth="1"/>
    <col min="1283" max="1283" width="15.109375" bestFit="1" customWidth="1"/>
    <col min="1537" max="1537" width="18.5546875" customWidth="1"/>
    <col min="1538" max="1538" width="28.6640625" bestFit="1" customWidth="1"/>
    <col min="1539" max="1539" width="15.109375" bestFit="1" customWidth="1"/>
    <col min="1793" max="1793" width="18.5546875" customWidth="1"/>
    <col min="1794" max="1794" width="28.6640625" bestFit="1" customWidth="1"/>
    <col min="1795" max="1795" width="15.109375" bestFit="1" customWidth="1"/>
    <col min="2049" max="2049" width="18.5546875" customWidth="1"/>
    <col min="2050" max="2050" width="28.6640625" bestFit="1" customWidth="1"/>
    <col min="2051" max="2051" width="15.109375" bestFit="1" customWidth="1"/>
    <col min="2305" max="2305" width="18.5546875" customWidth="1"/>
    <col min="2306" max="2306" width="28.6640625" bestFit="1" customWidth="1"/>
    <col min="2307" max="2307" width="15.109375" bestFit="1" customWidth="1"/>
    <col min="2561" max="2561" width="18.5546875" customWidth="1"/>
    <col min="2562" max="2562" width="28.6640625" bestFit="1" customWidth="1"/>
    <col min="2563" max="2563" width="15.109375" bestFit="1" customWidth="1"/>
    <col min="2817" max="2817" width="18.5546875" customWidth="1"/>
    <col min="2818" max="2818" width="28.6640625" bestFit="1" customWidth="1"/>
    <col min="2819" max="2819" width="15.109375" bestFit="1" customWidth="1"/>
    <col min="3073" max="3073" width="18.5546875" customWidth="1"/>
    <col min="3074" max="3074" width="28.6640625" bestFit="1" customWidth="1"/>
    <col min="3075" max="3075" width="15.109375" bestFit="1" customWidth="1"/>
    <col min="3329" max="3329" width="18.5546875" customWidth="1"/>
    <col min="3330" max="3330" width="28.6640625" bestFit="1" customWidth="1"/>
    <col min="3331" max="3331" width="15.109375" bestFit="1" customWidth="1"/>
    <col min="3585" max="3585" width="18.5546875" customWidth="1"/>
    <col min="3586" max="3586" width="28.6640625" bestFit="1" customWidth="1"/>
    <col min="3587" max="3587" width="15.109375" bestFit="1" customWidth="1"/>
    <col min="3841" max="3841" width="18.5546875" customWidth="1"/>
    <col min="3842" max="3842" width="28.6640625" bestFit="1" customWidth="1"/>
    <col min="3843" max="3843" width="15.109375" bestFit="1" customWidth="1"/>
    <col min="4097" max="4097" width="18.5546875" customWidth="1"/>
    <col min="4098" max="4098" width="28.6640625" bestFit="1" customWidth="1"/>
    <col min="4099" max="4099" width="15.109375" bestFit="1" customWidth="1"/>
    <col min="4353" max="4353" width="18.5546875" customWidth="1"/>
    <col min="4354" max="4354" width="28.6640625" bestFit="1" customWidth="1"/>
    <col min="4355" max="4355" width="15.109375" bestFit="1" customWidth="1"/>
    <col min="4609" max="4609" width="18.5546875" customWidth="1"/>
    <col min="4610" max="4610" width="28.6640625" bestFit="1" customWidth="1"/>
    <col min="4611" max="4611" width="15.109375" bestFit="1" customWidth="1"/>
    <col min="4865" max="4865" width="18.5546875" customWidth="1"/>
    <col min="4866" max="4866" width="28.6640625" bestFit="1" customWidth="1"/>
    <col min="4867" max="4867" width="15.109375" bestFit="1" customWidth="1"/>
    <col min="5121" max="5121" width="18.5546875" customWidth="1"/>
    <col min="5122" max="5122" width="28.6640625" bestFit="1" customWidth="1"/>
    <col min="5123" max="5123" width="15.109375" bestFit="1" customWidth="1"/>
    <col min="5377" max="5377" width="18.5546875" customWidth="1"/>
    <col min="5378" max="5378" width="28.6640625" bestFit="1" customWidth="1"/>
    <col min="5379" max="5379" width="15.109375" bestFit="1" customWidth="1"/>
    <col min="5633" max="5633" width="18.5546875" customWidth="1"/>
    <col min="5634" max="5634" width="28.6640625" bestFit="1" customWidth="1"/>
    <col min="5635" max="5635" width="15.109375" bestFit="1" customWidth="1"/>
    <col min="5889" max="5889" width="18.5546875" customWidth="1"/>
    <col min="5890" max="5890" width="28.6640625" bestFit="1" customWidth="1"/>
    <col min="5891" max="5891" width="15.109375" bestFit="1" customWidth="1"/>
    <col min="6145" max="6145" width="18.5546875" customWidth="1"/>
    <col min="6146" max="6146" width="28.6640625" bestFit="1" customWidth="1"/>
    <col min="6147" max="6147" width="15.109375" bestFit="1" customWidth="1"/>
    <col min="6401" max="6401" width="18.5546875" customWidth="1"/>
    <col min="6402" max="6402" width="28.6640625" bestFit="1" customWidth="1"/>
    <col min="6403" max="6403" width="15.109375" bestFit="1" customWidth="1"/>
    <col min="6657" max="6657" width="18.5546875" customWidth="1"/>
    <col min="6658" max="6658" width="28.6640625" bestFit="1" customWidth="1"/>
    <col min="6659" max="6659" width="15.109375" bestFit="1" customWidth="1"/>
    <col min="6913" max="6913" width="18.5546875" customWidth="1"/>
    <col min="6914" max="6914" width="28.6640625" bestFit="1" customWidth="1"/>
    <col min="6915" max="6915" width="15.109375" bestFit="1" customWidth="1"/>
    <col min="7169" max="7169" width="18.5546875" customWidth="1"/>
    <col min="7170" max="7170" width="28.6640625" bestFit="1" customWidth="1"/>
    <col min="7171" max="7171" width="15.109375" bestFit="1" customWidth="1"/>
    <col min="7425" max="7425" width="18.5546875" customWidth="1"/>
    <col min="7426" max="7426" width="28.6640625" bestFit="1" customWidth="1"/>
    <col min="7427" max="7427" width="15.109375" bestFit="1" customWidth="1"/>
    <col min="7681" max="7681" width="18.5546875" customWidth="1"/>
    <col min="7682" max="7682" width="28.6640625" bestFit="1" customWidth="1"/>
    <col min="7683" max="7683" width="15.109375" bestFit="1" customWidth="1"/>
    <col min="7937" max="7937" width="18.5546875" customWidth="1"/>
    <col min="7938" max="7938" width="28.6640625" bestFit="1" customWidth="1"/>
    <col min="7939" max="7939" width="15.109375" bestFit="1" customWidth="1"/>
    <col min="8193" max="8193" width="18.5546875" customWidth="1"/>
    <col min="8194" max="8194" width="28.6640625" bestFit="1" customWidth="1"/>
    <col min="8195" max="8195" width="15.109375" bestFit="1" customWidth="1"/>
    <col min="8449" max="8449" width="18.5546875" customWidth="1"/>
    <col min="8450" max="8450" width="28.6640625" bestFit="1" customWidth="1"/>
    <col min="8451" max="8451" width="15.109375" bestFit="1" customWidth="1"/>
    <col min="8705" max="8705" width="18.5546875" customWidth="1"/>
    <col min="8706" max="8706" width="28.6640625" bestFit="1" customWidth="1"/>
    <col min="8707" max="8707" width="15.109375" bestFit="1" customWidth="1"/>
    <col min="8961" max="8961" width="18.5546875" customWidth="1"/>
    <col min="8962" max="8962" width="28.6640625" bestFit="1" customWidth="1"/>
    <col min="8963" max="8963" width="15.109375" bestFit="1" customWidth="1"/>
    <col min="9217" max="9217" width="18.5546875" customWidth="1"/>
    <col min="9218" max="9218" width="28.6640625" bestFit="1" customWidth="1"/>
    <col min="9219" max="9219" width="15.109375" bestFit="1" customWidth="1"/>
    <col min="9473" max="9473" width="18.5546875" customWidth="1"/>
    <col min="9474" max="9474" width="28.6640625" bestFit="1" customWidth="1"/>
    <col min="9475" max="9475" width="15.109375" bestFit="1" customWidth="1"/>
    <col min="9729" max="9729" width="18.5546875" customWidth="1"/>
    <col min="9730" max="9730" width="28.6640625" bestFit="1" customWidth="1"/>
    <col min="9731" max="9731" width="15.109375" bestFit="1" customWidth="1"/>
    <col min="9985" max="9985" width="18.5546875" customWidth="1"/>
    <col min="9986" max="9986" width="28.6640625" bestFit="1" customWidth="1"/>
    <col min="9987" max="9987" width="15.109375" bestFit="1" customWidth="1"/>
    <col min="10241" max="10241" width="18.5546875" customWidth="1"/>
    <col min="10242" max="10242" width="28.6640625" bestFit="1" customWidth="1"/>
    <col min="10243" max="10243" width="15.109375" bestFit="1" customWidth="1"/>
    <col min="10497" max="10497" width="18.5546875" customWidth="1"/>
    <col min="10498" max="10498" width="28.6640625" bestFit="1" customWidth="1"/>
    <col min="10499" max="10499" width="15.109375" bestFit="1" customWidth="1"/>
    <col min="10753" max="10753" width="18.5546875" customWidth="1"/>
    <col min="10754" max="10754" width="28.6640625" bestFit="1" customWidth="1"/>
    <col min="10755" max="10755" width="15.109375" bestFit="1" customWidth="1"/>
    <col min="11009" max="11009" width="18.5546875" customWidth="1"/>
    <col min="11010" max="11010" width="28.6640625" bestFit="1" customWidth="1"/>
    <col min="11011" max="11011" width="15.109375" bestFit="1" customWidth="1"/>
    <col min="11265" max="11265" width="18.5546875" customWidth="1"/>
    <col min="11266" max="11266" width="28.6640625" bestFit="1" customWidth="1"/>
    <col min="11267" max="11267" width="15.109375" bestFit="1" customWidth="1"/>
    <col min="11521" max="11521" width="18.5546875" customWidth="1"/>
    <col min="11522" max="11522" width="28.6640625" bestFit="1" customWidth="1"/>
    <col min="11523" max="11523" width="15.109375" bestFit="1" customWidth="1"/>
    <col min="11777" max="11777" width="18.5546875" customWidth="1"/>
    <col min="11778" max="11778" width="28.6640625" bestFit="1" customWidth="1"/>
    <col min="11779" max="11779" width="15.109375" bestFit="1" customWidth="1"/>
    <col min="12033" max="12033" width="18.5546875" customWidth="1"/>
    <col min="12034" max="12034" width="28.6640625" bestFit="1" customWidth="1"/>
    <col min="12035" max="12035" width="15.109375" bestFit="1" customWidth="1"/>
    <col min="12289" max="12289" width="18.5546875" customWidth="1"/>
    <col min="12290" max="12290" width="28.6640625" bestFit="1" customWidth="1"/>
    <col min="12291" max="12291" width="15.109375" bestFit="1" customWidth="1"/>
    <col min="12545" max="12545" width="18.5546875" customWidth="1"/>
    <col min="12546" max="12546" width="28.6640625" bestFit="1" customWidth="1"/>
    <col min="12547" max="12547" width="15.109375" bestFit="1" customWidth="1"/>
    <col min="12801" max="12801" width="18.5546875" customWidth="1"/>
    <col min="12802" max="12802" width="28.6640625" bestFit="1" customWidth="1"/>
    <col min="12803" max="12803" width="15.109375" bestFit="1" customWidth="1"/>
    <col min="13057" max="13057" width="18.5546875" customWidth="1"/>
    <col min="13058" max="13058" width="28.6640625" bestFit="1" customWidth="1"/>
    <col min="13059" max="13059" width="15.109375" bestFit="1" customWidth="1"/>
    <col min="13313" max="13313" width="18.5546875" customWidth="1"/>
    <col min="13314" max="13314" width="28.6640625" bestFit="1" customWidth="1"/>
    <col min="13315" max="13315" width="15.109375" bestFit="1" customWidth="1"/>
    <col min="13569" max="13569" width="18.5546875" customWidth="1"/>
    <col min="13570" max="13570" width="28.6640625" bestFit="1" customWidth="1"/>
    <col min="13571" max="13571" width="15.109375" bestFit="1" customWidth="1"/>
    <col min="13825" max="13825" width="18.5546875" customWidth="1"/>
    <col min="13826" max="13826" width="28.6640625" bestFit="1" customWidth="1"/>
    <col min="13827" max="13827" width="15.109375" bestFit="1" customWidth="1"/>
    <col min="14081" max="14081" width="18.5546875" customWidth="1"/>
    <col min="14082" max="14082" width="28.6640625" bestFit="1" customWidth="1"/>
    <col min="14083" max="14083" width="15.109375" bestFit="1" customWidth="1"/>
    <col min="14337" max="14337" width="18.5546875" customWidth="1"/>
    <col min="14338" max="14338" width="28.6640625" bestFit="1" customWidth="1"/>
    <col min="14339" max="14339" width="15.109375" bestFit="1" customWidth="1"/>
    <col min="14593" max="14593" width="18.5546875" customWidth="1"/>
    <col min="14594" max="14594" width="28.6640625" bestFit="1" customWidth="1"/>
    <col min="14595" max="14595" width="15.109375" bestFit="1" customWidth="1"/>
    <col min="14849" max="14849" width="18.5546875" customWidth="1"/>
    <col min="14850" max="14850" width="28.6640625" bestFit="1" customWidth="1"/>
    <col min="14851" max="14851" width="15.109375" bestFit="1" customWidth="1"/>
    <col min="15105" max="15105" width="18.5546875" customWidth="1"/>
    <col min="15106" max="15106" width="28.6640625" bestFit="1" customWidth="1"/>
    <col min="15107" max="15107" width="15.109375" bestFit="1" customWidth="1"/>
    <col min="15361" max="15361" width="18.5546875" customWidth="1"/>
    <col min="15362" max="15362" width="28.6640625" bestFit="1" customWidth="1"/>
    <col min="15363" max="15363" width="15.109375" bestFit="1" customWidth="1"/>
    <col min="15617" max="15617" width="18.5546875" customWidth="1"/>
    <col min="15618" max="15618" width="28.6640625" bestFit="1" customWidth="1"/>
    <col min="15619" max="15619" width="15.109375" bestFit="1" customWidth="1"/>
    <col min="15873" max="15873" width="18.5546875" customWidth="1"/>
    <col min="15874" max="15874" width="28.6640625" bestFit="1" customWidth="1"/>
    <col min="15875" max="15875" width="15.109375" bestFit="1" customWidth="1"/>
    <col min="16129" max="16129" width="18.5546875" customWidth="1"/>
    <col min="16130" max="16130" width="28.6640625" bestFit="1" customWidth="1"/>
    <col min="16131" max="16131" width="15.109375" bestFit="1" customWidth="1"/>
  </cols>
  <sheetData>
    <row r="1" spans="1:4" x14ac:dyDescent="0.25">
      <c r="A1" s="49" t="s">
        <v>56</v>
      </c>
      <c r="B1" s="49"/>
      <c r="C1" s="49"/>
      <c r="D1" s="49"/>
    </row>
    <row r="3" spans="1:4" x14ac:dyDescent="0.25">
      <c r="A3" s="50" t="s">
        <v>57</v>
      </c>
      <c r="B3" s="50" t="s">
        <v>58</v>
      </c>
      <c r="C3" s="50" t="s">
        <v>59</v>
      </c>
      <c r="D3" s="50" t="s">
        <v>60</v>
      </c>
    </row>
    <row r="4" spans="1:4" x14ac:dyDescent="0.25">
      <c r="A4" t="s">
        <v>61</v>
      </c>
      <c r="B4" t="s">
        <v>62</v>
      </c>
      <c r="C4" t="s">
        <v>63</v>
      </c>
      <c r="D4">
        <f ca="1">INT(6*RAND())+1</f>
        <v>4</v>
      </c>
    </row>
    <row r="6" spans="1:4" x14ac:dyDescent="0.25">
      <c r="A6" t="s">
        <v>64</v>
      </c>
      <c r="B6" t="s">
        <v>65</v>
      </c>
      <c r="C6" t="s">
        <v>66</v>
      </c>
      <c r="D6">
        <f ca="1">1+(6-1)*RAND()</f>
        <v>4.6667746763081457</v>
      </c>
    </row>
    <row r="8" spans="1:4" x14ac:dyDescent="0.25">
      <c r="A8" t="s">
        <v>67</v>
      </c>
      <c r="B8" t="s">
        <v>68</v>
      </c>
      <c r="C8" t="s">
        <v>69</v>
      </c>
      <c r="D8">
        <f ca="1">10+(20-10)*(RAND()+RAND())/2</f>
        <v>17.971882991775843</v>
      </c>
    </row>
    <row r="10" spans="1:4" x14ac:dyDescent="0.25">
      <c r="A10" t="s">
        <v>70</v>
      </c>
      <c r="B10" t="s">
        <v>71</v>
      </c>
      <c r="C10" t="s">
        <v>72</v>
      </c>
      <c r="D10">
        <f ca="1">NORMINV(RAND(), 30,2)</f>
        <v>32.421088915823226</v>
      </c>
    </row>
    <row r="12" spans="1:4" x14ac:dyDescent="0.25">
      <c r="A12" t="s">
        <v>73</v>
      </c>
      <c r="B12" t="s">
        <v>74</v>
      </c>
      <c r="C12" t="s">
        <v>75</v>
      </c>
      <c r="D12">
        <f ca="1">-1/2*LN(RAND())</f>
        <v>0.45426710782826973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17"/>
  <sheetViews>
    <sheetView tabSelected="1" workbookViewId="0">
      <selection activeCell="B10" sqref="B10"/>
    </sheetView>
  </sheetViews>
  <sheetFormatPr defaultRowHeight="13.8" x14ac:dyDescent="0.25"/>
  <cols>
    <col min="1" max="1" width="17.5546875" customWidth="1"/>
    <col min="2" max="3" width="11.33203125" customWidth="1"/>
    <col min="4" max="4" width="10.6640625" customWidth="1"/>
    <col min="5" max="5" width="10.6640625" bestFit="1" customWidth="1"/>
    <col min="6" max="6" width="10.88671875" customWidth="1"/>
    <col min="8" max="8" width="10.88671875" customWidth="1"/>
    <col min="9" max="9" width="15" customWidth="1"/>
    <col min="11" max="11" width="10.33203125" customWidth="1"/>
    <col min="257" max="257" width="17.5546875" customWidth="1"/>
    <col min="258" max="259" width="11.33203125" customWidth="1"/>
    <col min="260" max="260" width="10.6640625" customWidth="1"/>
    <col min="261" max="261" width="10.6640625" bestFit="1" customWidth="1"/>
    <col min="262" max="262" width="10.88671875" customWidth="1"/>
    <col min="264" max="264" width="10.88671875" customWidth="1"/>
    <col min="265" max="265" width="15" customWidth="1"/>
    <col min="267" max="267" width="10.33203125" customWidth="1"/>
    <col min="513" max="513" width="17.5546875" customWidth="1"/>
    <col min="514" max="515" width="11.33203125" customWidth="1"/>
    <col min="516" max="516" width="10.6640625" customWidth="1"/>
    <col min="517" max="517" width="10.6640625" bestFit="1" customWidth="1"/>
    <col min="518" max="518" width="10.88671875" customWidth="1"/>
    <col min="520" max="520" width="10.88671875" customWidth="1"/>
    <col min="521" max="521" width="15" customWidth="1"/>
    <col min="523" max="523" width="10.33203125" customWidth="1"/>
    <col min="769" max="769" width="17.5546875" customWidth="1"/>
    <col min="770" max="771" width="11.33203125" customWidth="1"/>
    <col min="772" max="772" width="10.6640625" customWidth="1"/>
    <col min="773" max="773" width="10.6640625" bestFit="1" customWidth="1"/>
    <col min="774" max="774" width="10.88671875" customWidth="1"/>
    <col min="776" max="776" width="10.88671875" customWidth="1"/>
    <col min="777" max="777" width="15" customWidth="1"/>
    <col min="779" max="779" width="10.33203125" customWidth="1"/>
    <col min="1025" max="1025" width="17.5546875" customWidth="1"/>
    <col min="1026" max="1027" width="11.33203125" customWidth="1"/>
    <col min="1028" max="1028" width="10.6640625" customWidth="1"/>
    <col min="1029" max="1029" width="10.6640625" bestFit="1" customWidth="1"/>
    <col min="1030" max="1030" width="10.88671875" customWidth="1"/>
    <col min="1032" max="1032" width="10.88671875" customWidth="1"/>
    <col min="1033" max="1033" width="15" customWidth="1"/>
    <col min="1035" max="1035" width="10.33203125" customWidth="1"/>
    <col min="1281" max="1281" width="17.5546875" customWidth="1"/>
    <col min="1282" max="1283" width="11.33203125" customWidth="1"/>
    <col min="1284" max="1284" width="10.6640625" customWidth="1"/>
    <col min="1285" max="1285" width="10.6640625" bestFit="1" customWidth="1"/>
    <col min="1286" max="1286" width="10.88671875" customWidth="1"/>
    <col min="1288" max="1288" width="10.88671875" customWidth="1"/>
    <col min="1289" max="1289" width="15" customWidth="1"/>
    <col min="1291" max="1291" width="10.33203125" customWidth="1"/>
    <col min="1537" max="1537" width="17.5546875" customWidth="1"/>
    <col min="1538" max="1539" width="11.33203125" customWidth="1"/>
    <col min="1540" max="1540" width="10.6640625" customWidth="1"/>
    <col min="1541" max="1541" width="10.6640625" bestFit="1" customWidth="1"/>
    <col min="1542" max="1542" width="10.88671875" customWidth="1"/>
    <col min="1544" max="1544" width="10.88671875" customWidth="1"/>
    <col min="1545" max="1545" width="15" customWidth="1"/>
    <col min="1547" max="1547" width="10.33203125" customWidth="1"/>
    <col min="1793" max="1793" width="17.5546875" customWidth="1"/>
    <col min="1794" max="1795" width="11.33203125" customWidth="1"/>
    <col min="1796" max="1796" width="10.6640625" customWidth="1"/>
    <col min="1797" max="1797" width="10.6640625" bestFit="1" customWidth="1"/>
    <col min="1798" max="1798" width="10.88671875" customWidth="1"/>
    <col min="1800" max="1800" width="10.88671875" customWidth="1"/>
    <col min="1801" max="1801" width="15" customWidth="1"/>
    <col min="1803" max="1803" width="10.33203125" customWidth="1"/>
    <col min="2049" max="2049" width="17.5546875" customWidth="1"/>
    <col min="2050" max="2051" width="11.33203125" customWidth="1"/>
    <col min="2052" max="2052" width="10.6640625" customWidth="1"/>
    <col min="2053" max="2053" width="10.6640625" bestFit="1" customWidth="1"/>
    <col min="2054" max="2054" width="10.88671875" customWidth="1"/>
    <col min="2056" max="2056" width="10.88671875" customWidth="1"/>
    <col min="2057" max="2057" width="15" customWidth="1"/>
    <col min="2059" max="2059" width="10.33203125" customWidth="1"/>
    <col min="2305" max="2305" width="17.5546875" customWidth="1"/>
    <col min="2306" max="2307" width="11.33203125" customWidth="1"/>
    <col min="2308" max="2308" width="10.6640625" customWidth="1"/>
    <col min="2309" max="2309" width="10.6640625" bestFit="1" customWidth="1"/>
    <col min="2310" max="2310" width="10.88671875" customWidth="1"/>
    <col min="2312" max="2312" width="10.88671875" customWidth="1"/>
    <col min="2313" max="2313" width="15" customWidth="1"/>
    <col min="2315" max="2315" width="10.33203125" customWidth="1"/>
    <col min="2561" max="2561" width="17.5546875" customWidth="1"/>
    <col min="2562" max="2563" width="11.33203125" customWidth="1"/>
    <col min="2564" max="2564" width="10.6640625" customWidth="1"/>
    <col min="2565" max="2565" width="10.6640625" bestFit="1" customWidth="1"/>
    <col min="2566" max="2566" width="10.88671875" customWidth="1"/>
    <col min="2568" max="2568" width="10.88671875" customWidth="1"/>
    <col min="2569" max="2569" width="15" customWidth="1"/>
    <col min="2571" max="2571" width="10.33203125" customWidth="1"/>
    <col min="2817" max="2817" width="17.5546875" customWidth="1"/>
    <col min="2818" max="2819" width="11.33203125" customWidth="1"/>
    <col min="2820" max="2820" width="10.6640625" customWidth="1"/>
    <col min="2821" max="2821" width="10.6640625" bestFit="1" customWidth="1"/>
    <col min="2822" max="2822" width="10.88671875" customWidth="1"/>
    <col min="2824" max="2824" width="10.88671875" customWidth="1"/>
    <col min="2825" max="2825" width="15" customWidth="1"/>
    <col min="2827" max="2827" width="10.33203125" customWidth="1"/>
    <col min="3073" max="3073" width="17.5546875" customWidth="1"/>
    <col min="3074" max="3075" width="11.33203125" customWidth="1"/>
    <col min="3076" max="3076" width="10.6640625" customWidth="1"/>
    <col min="3077" max="3077" width="10.6640625" bestFit="1" customWidth="1"/>
    <col min="3078" max="3078" width="10.88671875" customWidth="1"/>
    <col min="3080" max="3080" width="10.88671875" customWidth="1"/>
    <col min="3081" max="3081" width="15" customWidth="1"/>
    <col min="3083" max="3083" width="10.33203125" customWidth="1"/>
    <col min="3329" max="3329" width="17.5546875" customWidth="1"/>
    <col min="3330" max="3331" width="11.33203125" customWidth="1"/>
    <col min="3332" max="3332" width="10.6640625" customWidth="1"/>
    <col min="3333" max="3333" width="10.6640625" bestFit="1" customWidth="1"/>
    <col min="3334" max="3334" width="10.88671875" customWidth="1"/>
    <col min="3336" max="3336" width="10.88671875" customWidth="1"/>
    <col min="3337" max="3337" width="15" customWidth="1"/>
    <col min="3339" max="3339" width="10.33203125" customWidth="1"/>
    <col min="3585" max="3585" width="17.5546875" customWidth="1"/>
    <col min="3586" max="3587" width="11.33203125" customWidth="1"/>
    <col min="3588" max="3588" width="10.6640625" customWidth="1"/>
    <col min="3589" max="3589" width="10.6640625" bestFit="1" customWidth="1"/>
    <col min="3590" max="3590" width="10.88671875" customWidth="1"/>
    <col min="3592" max="3592" width="10.88671875" customWidth="1"/>
    <col min="3593" max="3593" width="15" customWidth="1"/>
    <col min="3595" max="3595" width="10.33203125" customWidth="1"/>
    <col min="3841" max="3841" width="17.5546875" customWidth="1"/>
    <col min="3842" max="3843" width="11.33203125" customWidth="1"/>
    <col min="3844" max="3844" width="10.6640625" customWidth="1"/>
    <col min="3845" max="3845" width="10.6640625" bestFit="1" customWidth="1"/>
    <col min="3846" max="3846" width="10.88671875" customWidth="1"/>
    <col min="3848" max="3848" width="10.88671875" customWidth="1"/>
    <col min="3849" max="3849" width="15" customWidth="1"/>
    <col min="3851" max="3851" width="10.33203125" customWidth="1"/>
    <col min="4097" max="4097" width="17.5546875" customWidth="1"/>
    <col min="4098" max="4099" width="11.33203125" customWidth="1"/>
    <col min="4100" max="4100" width="10.6640625" customWidth="1"/>
    <col min="4101" max="4101" width="10.6640625" bestFit="1" customWidth="1"/>
    <col min="4102" max="4102" width="10.88671875" customWidth="1"/>
    <col min="4104" max="4104" width="10.88671875" customWidth="1"/>
    <col min="4105" max="4105" width="15" customWidth="1"/>
    <col min="4107" max="4107" width="10.33203125" customWidth="1"/>
    <col min="4353" max="4353" width="17.5546875" customWidth="1"/>
    <col min="4354" max="4355" width="11.33203125" customWidth="1"/>
    <col min="4356" max="4356" width="10.6640625" customWidth="1"/>
    <col min="4357" max="4357" width="10.6640625" bestFit="1" customWidth="1"/>
    <col min="4358" max="4358" width="10.88671875" customWidth="1"/>
    <col min="4360" max="4360" width="10.88671875" customWidth="1"/>
    <col min="4361" max="4361" width="15" customWidth="1"/>
    <col min="4363" max="4363" width="10.33203125" customWidth="1"/>
    <col min="4609" max="4609" width="17.5546875" customWidth="1"/>
    <col min="4610" max="4611" width="11.33203125" customWidth="1"/>
    <col min="4612" max="4612" width="10.6640625" customWidth="1"/>
    <col min="4613" max="4613" width="10.6640625" bestFit="1" customWidth="1"/>
    <col min="4614" max="4614" width="10.88671875" customWidth="1"/>
    <col min="4616" max="4616" width="10.88671875" customWidth="1"/>
    <col min="4617" max="4617" width="15" customWidth="1"/>
    <col min="4619" max="4619" width="10.33203125" customWidth="1"/>
    <col min="4865" max="4865" width="17.5546875" customWidth="1"/>
    <col min="4866" max="4867" width="11.33203125" customWidth="1"/>
    <col min="4868" max="4868" width="10.6640625" customWidth="1"/>
    <col min="4869" max="4869" width="10.6640625" bestFit="1" customWidth="1"/>
    <col min="4870" max="4870" width="10.88671875" customWidth="1"/>
    <col min="4872" max="4872" width="10.88671875" customWidth="1"/>
    <col min="4873" max="4873" width="15" customWidth="1"/>
    <col min="4875" max="4875" width="10.33203125" customWidth="1"/>
    <col min="5121" max="5121" width="17.5546875" customWidth="1"/>
    <col min="5122" max="5123" width="11.33203125" customWidth="1"/>
    <col min="5124" max="5124" width="10.6640625" customWidth="1"/>
    <col min="5125" max="5125" width="10.6640625" bestFit="1" customWidth="1"/>
    <col min="5126" max="5126" width="10.88671875" customWidth="1"/>
    <col min="5128" max="5128" width="10.88671875" customWidth="1"/>
    <col min="5129" max="5129" width="15" customWidth="1"/>
    <col min="5131" max="5131" width="10.33203125" customWidth="1"/>
    <col min="5377" max="5377" width="17.5546875" customWidth="1"/>
    <col min="5378" max="5379" width="11.33203125" customWidth="1"/>
    <col min="5380" max="5380" width="10.6640625" customWidth="1"/>
    <col min="5381" max="5381" width="10.6640625" bestFit="1" customWidth="1"/>
    <col min="5382" max="5382" width="10.88671875" customWidth="1"/>
    <col min="5384" max="5384" width="10.88671875" customWidth="1"/>
    <col min="5385" max="5385" width="15" customWidth="1"/>
    <col min="5387" max="5387" width="10.33203125" customWidth="1"/>
    <col min="5633" max="5633" width="17.5546875" customWidth="1"/>
    <col min="5634" max="5635" width="11.33203125" customWidth="1"/>
    <col min="5636" max="5636" width="10.6640625" customWidth="1"/>
    <col min="5637" max="5637" width="10.6640625" bestFit="1" customWidth="1"/>
    <col min="5638" max="5638" width="10.88671875" customWidth="1"/>
    <col min="5640" max="5640" width="10.88671875" customWidth="1"/>
    <col min="5641" max="5641" width="15" customWidth="1"/>
    <col min="5643" max="5643" width="10.33203125" customWidth="1"/>
    <col min="5889" max="5889" width="17.5546875" customWidth="1"/>
    <col min="5890" max="5891" width="11.33203125" customWidth="1"/>
    <col min="5892" max="5892" width="10.6640625" customWidth="1"/>
    <col min="5893" max="5893" width="10.6640625" bestFit="1" customWidth="1"/>
    <col min="5894" max="5894" width="10.88671875" customWidth="1"/>
    <col min="5896" max="5896" width="10.88671875" customWidth="1"/>
    <col min="5897" max="5897" width="15" customWidth="1"/>
    <col min="5899" max="5899" width="10.33203125" customWidth="1"/>
    <col min="6145" max="6145" width="17.5546875" customWidth="1"/>
    <col min="6146" max="6147" width="11.33203125" customWidth="1"/>
    <col min="6148" max="6148" width="10.6640625" customWidth="1"/>
    <col min="6149" max="6149" width="10.6640625" bestFit="1" customWidth="1"/>
    <col min="6150" max="6150" width="10.88671875" customWidth="1"/>
    <col min="6152" max="6152" width="10.88671875" customWidth="1"/>
    <col min="6153" max="6153" width="15" customWidth="1"/>
    <col min="6155" max="6155" width="10.33203125" customWidth="1"/>
    <col min="6401" max="6401" width="17.5546875" customWidth="1"/>
    <col min="6402" max="6403" width="11.33203125" customWidth="1"/>
    <col min="6404" max="6404" width="10.6640625" customWidth="1"/>
    <col min="6405" max="6405" width="10.6640625" bestFit="1" customWidth="1"/>
    <col min="6406" max="6406" width="10.88671875" customWidth="1"/>
    <col min="6408" max="6408" width="10.88671875" customWidth="1"/>
    <col min="6409" max="6409" width="15" customWidth="1"/>
    <col min="6411" max="6411" width="10.33203125" customWidth="1"/>
    <col min="6657" max="6657" width="17.5546875" customWidth="1"/>
    <col min="6658" max="6659" width="11.33203125" customWidth="1"/>
    <col min="6660" max="6660" width="10.6640625" customWidth="1"/>
    <col min="6661" max="6661" width="10.6640625" bestFit="1" customWidth="1"/>
    <col min="6662" max="6662" width="10.88671875" customWidth="1"/>
    <col min="6664" max="6664" width="10.88671875" customWidth="1"/>
    <col min="6665" max="6665" width="15" customWidth="1"/>
    <col min="6667" max="6667" width="10.33203125" customWidth="1"/>
    <col min="6913" max="6913" width="17.5546875" customWidth="1"/>
    <col min="6914" max="6915" width="11.33203125" customWidth="1"/>
    <col min="6916" max="6916" width="10.6640625" customWidth="1"/>
    <col min="6917" max="6917" width="10.6640625" bestFit="1" customWidth="1"/>
    <col min="6918" max="6918" width="10.88671875" customWidth="1"/>
    <col min="6920" max="6920" width="10.88671875" customWidth="1"/>
    <col min="6921" max="6921" width="15" customWidth="1"/>
    <col min="6923" max="6923" width="10.33203125" customWidth="1"/>
    <col min="7169" max="7169" width="17.5546875" customWidth="1"/>
    <col min="7170" max="7171" width="11.33203125" customWidth="1"/>
    <col min="7172" max="7172" width="10.6640625" customWidth="1"/>
    <col min="7173" max="7173" width="10.6640625" bestFit="1" customWidth="1"/>
    <col min="7174" max="7174" width="10.88671875" customWidth="1"/>
    <col min="7176" max="7176" width="10.88671875" customWidth="1"/>
    <col min="7177" max="7177" width="15" customWidth="1"/>
    <col min="7179" max="7179" width="10.33203125" customWidth="1"/>
    <col min="7425" max="7425" width="17.5546875" customWidth="1"/>
    <col min="7426" max="7427" width="11.33203125" customWidth="1"/>
    <col min="7428" max="7428" width="10.6640625" customWidth="1"/>
    <col min="7429" max="7429" width="10.6640625" bestFit="1" customWidth="1"/>
    <col min="7430" max="7430" width="10.88671875" customWidth="1"/>
    <col min="7432" max="7432" width="10.88671875" customWidth="1"/>
    <col min="7433" max="7433" width="15" customWidth="1"/>
    <col min="7435" max="7435" width="10.33203125" customWidth="1"/>
    <col min="7681" max="7681" width="17.5546875" customWidth="1"/>
    <col min="7682" max="7683" width="11.33203125" customWidth="1"/>
    <col min="7684" max="7684" width="10.6640625" customWidth="1"/>
    <col min="7685" max="7685" width="10.6640625" bestFit="1" customWidth="1"/>
    <col min="7686" max="7686" width="10.88671875" customWidth="1"/>
    <col min="7688" max="7688" width="10.88671875" customWidth="1"/>
    <col min="7689" max="7689" width="15" customWidth="1"/>
    <col min="7691" max="7691" width="10.33203125" customWidth="1"/>
    <col min="7937" max="7937" width="17.5546875" customWidth="1"/>
    <col min="7938" max="7939" width="11.33203125" customWidth="1"/>
    <col min="7940" max="7940" width="10.6640625" customWidth="1"/>
    <col min="7941" max="7941" width="10.6640625" bestFit="1" customWidth="1"/>
    <col min="7942" max="7942" width="10.88671875" customWidth="1"/>
    <col min="7944" max="7944" width="10.88671875" customWidth="1"/>
    <col min="7945" max="7945" width="15" customWidth="1"/>
    <col min="7947" max="7947" width="10.33203125" customWidth="1"/>
    <col min="8193" max="8193" width="17.5546875" customWidth="1"/>
    <col min="8194" max="8195" width="11.33203125" customWidth="1"/>
    <col min="8196" max="8196" width="10.6640625" customWidth="1"/>
    <col min="8197" max="8197" width="10.6640625" bestFit="1" customWidth="1"/>
    <col min="8198" max="8198" width="10.88671875" customWidth="1"/>
    <col min="8200" max="8200" width="10.88671875" customWidth="1"/>
    <col min="8201" max="8201" width="15" customWidth="1"/>
    <col min="8203" max="8203" width="10.33203125" customWidth="1"/>
    <col min="8449" max="8449" width="17.5546875" customWidth="1"/>
    <col min="8450" max="8451" width="11.33203125" customWidth="1"/>
    <col min="8452" max="8452" width="10.6640625" customWidth="1"/>
    <col min="8453" max="8453" width="10.6640625" bestFit="1" customWidth="1"/>
    <col min="8454" max="8454" width="10.88671875" customWidth="1"/>
    <col min="8456" max="8456" width="10.88671875" customWidth="1"/>
    <col min="8457" max="8457" width="15" customWidth="1"/>
    <col min="8459" max="8459" width="10.33203125" customWidth="1"/>
    <col min="8705" max="8705" width="17.5546875" customWidth="1"/>
    <col min="8706" max="8707" width="11.33203125" customWidth="1"/>
    <col min="8708" max="8708" width="10.6640625" customWidth="1"/>
    <col min="8709" max="8709" width="10.6640625" bestFit="1" customWidth="1"/>
    <col min="8710" max="8710" width="10.88671875" customWidth="1"/>
    <col min="8712" max="8712" width="10.88671875" customWidth="1"/>
    <col min="8713" max="8713" width="15" customWidth="1"/>
    <col min="8715" max="8715" width="10.33203125" customWidth="1"/>
    <col min="8961" max="8961" width="17.5546875" customWidth="1"/>
    <col min="8962" max="8963" width="11.33203125" customWidth="1"/>
    <col min="8964" max="8964" width="10.6640625" customWidth="1"/>
    <col min="8965" max="8965" width="10.6640625" bestFit="1" customWidth="1"/>
    <col min="8966" max="8966" width="10.88671875" customWidth="1"/>
    <col min="8968" max="8968" width="10.88671875" customWidth="1"/>
    <col min="8969" max="8969" width="15" customWidth="1"/>
    <col min="8971" max="8971" width="10.33203125" customWidth="1"/>
    <col min="9217" max="9217" width="17.5546875" customWidth="1"/>
    <col min="9218" max="9219" width="11.33203125" customWidth="1"/>
    <col min="9220" max="9220" width="10.6640625" customWidth="1"/>
    <col min="9221" max="9221" width="10.6640625" bestFit="1" customWidth="1"/>
    <col min="9222" max="9222" width="10.88671875" customWidth="1"/>
    <col min="9224" max="9224" width="10.88671875" customWidth="1"/>
    <col min="9225" max="9225" width="15" customWidth="1"/>
    <col min="9227" max="9227" width="10.33203125" customWidth="1"/>
    <col min="9473" max="9473" width="17.5546875" customWidth="1"/>
    <col min="9474" max="9475" width="11.33203125" customWidth="1"/>
    <col min="9476" max="9476" width="10.6640625" customWidth="1"/>
    <col min="9477" max="9477" width="10.6640625" bestFit="1" customWidth="1"/>
    <col min="9478" max="9478" width="10.88671875" customWidth="1"/>
    <col min="9480" max="9480" width="10.88671875" customWidth="1"/>
    <col min="9481" max="9481" width="15" customWidth="1"/>
    <col min="9483" max="9483" width="10.33203125" customWidth="1"/>
    <col min="9729" max="9729" width="17.5546875" customWidth="1"/>
    <col min="9730" max="9731" width="11.33203125" customWidth="1"/>
    <col min="9732" max="9732" width="10.6640625" customWidth="1"/>
    <col min="9733" max="9733" width="10.6640625" bestFit="1" customWidth="1"/>
    <col min="9734" max="9734" width="10.88671875" customWidth="1"/>
    <col min="9736" max="9736" width="10.88671875" customWidth="1"/>
    <col min="9737" max="9737" width="15" customWidth="1"/>
    <col min="9739" max="9739" width="10.33203125" customWidth="1"/>
    <col min="9985" max="9985" width="17.5546875" customWidth="1"/>
    <col min="9986" max="9987" width="11.33203125" customWidth="1"/>
    <col min="9988" max="9988" width="10.6640625" customWidth="1"/>
    <col min="9989" max="9989" width="10.6640625" bestFit="1" customWidth="1"/>
    <col min="9990" max="9990" width="10.88671875" customWidth="1"/>
    <col min="9992" max="9992" width="10.88671875" customWidth="1"/>
    <col min="9993" max="9993" width="15" customWidth="1"/>
    <col min="9995" max="9995" width="10.33203125" customWidth="1"/>
    <col min="10241" max="10241" width="17.5546875" customWidth="1"/>
    <col min="10242" max="10243" width="11.33203125" customWidth="1"/>
    <col min="10244" max="10244" width="10.6640625" customWidth="1"/>
    <col min="10245" max="10245" width="10.6640625" bestFit="1" customWidth="1"/>
    <col min="10246" max="10246" width="10.88671875" customWidth="1"/>
    <col min="10248" max="10248" width="10.88671875" customWidth="1"/>
    <col min="10249" max="10249" width="15" customWidth="1"/>
    <col min="10251" max="10251" width="10.33203125" customWidth="1"/>
    <col min="10497" max="10497" width="17.5546875" customWidth="1"/>
    <col min="10498" max="10499" width="11.33203125" customWidth="1"/>
    <col min="10500" max="10500" width="10.6640625" customWidth="1"/>
    <col min="10501" max="10501" width="10.6640625" bestFit="1" customWidth="1"/>
    <col min="10502" max="10502" width="10.88671875" customWidth="1"/>
    <col min="10504" max="10504" width="10.88671875" customWidth="1"/>
    <col min="10505" max="10505" width="15" customWidth="1"/>
    <col min="10507" max="10507" width="10.33203125" customWidth="1"/>
    <col min="10753" max="10753" width="17.5546875" customWidth="1"/>
    <col min="10754" max="10755" width="11.33203125" customWidth="1"/>
    <col min="10756" max="10756" width="10.6640625" customWidth="1"/>
    <col min="10757" max="10757" width="10.6640625" bestFit="1" customWidth="1"/>
    <col min="10758" max="10758" width="10.88671875" customWidth="1"/>
    <col min="10760" max="10760" width="10.88671875" customWidth="1"/>
    <col min="10761" max="10761" width="15" customWidth="1"/>
    <col min="10763" max="10763" width="10.33203125" customWidth="1"/>
    <col min="11009" max="11009" width="17.5546875" customWidth="1"/>
    <col min="11010" max="11011" width="11.33203125" customWidth="1"/>
    <col min="11012" max="11012" width="10.6640625" customWidth="1"/>
    <col min="11013" max="11013" width="10.6640625" bestFit="1" customWidth="1"/>
    <col min="11014" max="11014" width="10.88671875" customWidth="1"/>
    <col min="11016" max="11016" width="10.88671875" customWidth="1"/>
    <col min="11017" max="11017" width="15" customWidth="1"/>
    <col min="11019" max="11019" width="10.33203125" customWidth="1"/>
    <col min="11265" max="11265" width="17.5546875" customWidth="1"/>
    <col min="11266" max="11267" width="11.33203125" customWidth="1"/>
    <col min="11268" max="11268" width="10.6640625" customWidth="1"/>
    <col min="11269" max="11269" width="10.6640625" bestFit="1" customWidth="1"/>
    <col min="11270" max="11270" width="10.88671875" customWidth="1"/>
    <col min="11272" max="11272" width="10.88671875" customWidth="1"/>
    <col min="11273" max="11273" width="15" customWidth="1"/>
    <col min="11275" max="11275" width="10.33203125" customWidth="1"/>
    <col min="11521" max="11521" width="17.5546875" customWidth="1"/>
    <col min="11522" max="11523" width="11.33203125" customWidth="1"/>
    <col min="11524" max="11524" width="10.6640625" customWidth="1"/>
    <col min="11525" max="11525" width="10.6640625" bestFit="1" customWidth="1"/>
    <col min="11526" max="11526" width="10.88671875" customWidth="1"/>
    <col min="11528" max="11528" width="10.88671875" customWidth="1"/>
    <col min="11529" max="11529" width="15" customWidth="1"/>
    <col min="11531" max="11531" width="10.33203125" customWidth="1"/>
    <col min="11777" max="11777" width="17.5546875" customWidth="1"/>
    <col min="11778" max="11779" width="11.33203125" customWidth="1"/>
    <col min="11780" max="11780" width="10.6640625" customWidth="1"/>
    <col min="11781" max="11781" width="10.6640625" bestFit="1" customWidth="1"/>
    <col min="11782" max="11782" width="10.88671875" customWidth="1"/>
    <col min="11784" max="11784" width="10.88671875" customWidth="1"/>
    <col min="11785" max="11785" width="15" customWidth="1"/>
    <col min="11787" max="11787" width="10.33203125" customWidth="1"/>
    <col min="12033" max="12033" width="17.5546875" customWidth="1"/>
    <col min="12034" max="12035" width="11.33203125" customWidth="1"/>
    <col min="12036" max="12036" width="10.6640625" customWidth="1"/>
    <col min="12037" max="12037" width="10.6640625" bestFit="1" customWidth="1"/>
    <col min="12038" max="12038" width="10.88671875" customWidth="1"/>
    <col min="12040" max="12040" width="10.88671875" customWidth="1"/>
    <col min="12041" max="12041" width="15" customWidth="1"/>
    <col min="12043" max="12043" width="10.33203125" customWidth="1"/>
    <col min="12289" max="12289" width="17.5546875" customWidth="1"/>
    <col min="12290" max="12291" width="11.33203125" customWidth="1"/>
    <col min="12292" max="12292" width="10.6640625" customWidth="1"/>
    <col min="12293" max="12293" width="10.6640625" bestFit="1" customWidth="1"/>
    <col min="12294" max="12294" width="10.88671875" customWidth="1"/>
    <col min="12296" max="12296" width="10.88671875" customWidth="1"/>
    <col min="12297" max="12297" width="15" customWidth="1"/>
    <col min="12299" max="12299" width="10.33203125" customWidth="1"/>
    <col min="12545" max="12545" width="17.5546875" customWidth="1"/>
    <col min="12546" max="12547" width="11.33203125" customWidth="1"/>
    <col min="12548" max="12548" width="10.6640625" customWidth="1"/>
    <col min="12549" max="12549" width="10.6640625" bestFit="1" customWidth="1"/>
    <col min="12550" max="12550" width="10.88671875" customWidth="1"/>
    <col min="12552" max="12552" width="10.88671875" customWidth="1"/>
    <col min="12553" max="12553" width="15" customWidth="1"/>
    <col min="12555" max="12555" width="10.33203125" customWidth="1"/>
    <col min="12801" max="12801" width="17.5546875" customWidth="1"/>
    <col min="12802" max="12803" width="11.33203125" customWidth="1"/>
    <col min="12804" max="12804" width="10.6640625" customWidth="1"/>
    <col min="12805" max="12805" width="10.6640625" bestFit="1" customWidth="1"/>
    <col min="12806" max="12806" width="10.88671875" customWidth="1"/>
    <col min="12808" max="12808" width="10.88671875" customWidth="1"/>
    <col min="12809" max="12809" width="15" customWidth="1"/>
    <col min="12811" max="12811" width="10.33203125" customWidth="1"/>
    <col min="13057" max="13057" width="17.5546875" customWidth="1"/>
    <col min="13058" max="13059" width="11.33203125" customWidth="1"/>
    <col min="13060" max="13060" width="10.6640625" customWidth="1"/>
    <col min="13061" max="13061" width="10.6640625" bestFit="1" customWidth="1"/>
    <col min="13062" max="13062" width="10.88671875" customWidth="1"/>
    <col min="13064" max="13064" width="10.88671875" customWidth="1"/>
    <col min="13065" max="13065" width="15" customWidth="1"/>
    <col min="13067" max="13067" width="10.33203125" customWidth="1"/>
    <col min="13313" max="13313" width="17.5546875" customWidth="1"/>
    <col min="13314" max="13315" width="11.33203125" customWidth="1"/>
    <col min="13316" max="13316" width="10.6640625" customWidth="1"/>
    <col min="13317" max="13317" width="10.6640625" bestFit="1" customWidth="1"/>
    <col min="13318" max="13318" width="10.88671875" customWidth="1"/>
    <col min="13320" max="13320" width="10.88671875" customWidth="1"/>
    <col min="13321" max="13321" width="15" customWidth="1"/>
    <col min="13323" max="13323" width="10.33203125" customWidth="1"/>
    <col min="13569" max="13569" width="17.5546875" customWidth="1"/>
    <col min="13570" max="13571" width="11.33203125" customWidth="1"/>
    <col min="13572" max="13572" width="10.6640625" customWidth="1"/>
    <col min="13573" max="13573" width="10.6640625" bestFit="1" customWidth="1"/>
    <col min="13574" max="13574" width="10.88671875" customWidth="1"/>
    <col min="13576" max="13576" width="10.88671875" customWidth="1"/>
    <col min="13577" max="13577" width="15" customWidth="1"/>
    <col min="13579" max="13579" width="10.33203125" customWidth="1"/>
    <col min="13825" max="13825" width="17.5546875" customWidth="1"/>
    <col min="13826" max="13827" width="11.33203125" customWidth="1"/>
    <col min="13828" max="13828" width="10.6640625" customWidth="1"/>
    <col min="13829" max="13829" width="10.6640625" bestFit="1" customWidth="1"/>
    <col min="13830" max="13830" width="10.88671875" customWidth="1"/>
    <col min="13832" max="13832" width="10.88671875" customWidth="1"/>
    <col min="13833" max="13833" width="15" customWidth="1"/>
    <col min="13835" max="13835" width="10.33203125" customWidth="1"/>
    <col min="14081" max="14081" width="17.5546875" customWidth="1"/>
    <col min="14082" max="14083" width="11.33203125" customWidth="1"/>
    <col min="14084" max="14084" width="10.6640625" customWidth="1"/>
    <col min="14085" max="14085" width="10.6640625" bestFit="1" customWidth="1"/>
    <col min="14086" max="14086" width="10.88671875" customWidth="1"/>
    <col min="14088" max="14088" width="10.88671875" customWidth="1"/>
    <col min="14089" max="14089" width="15" customWidth="1"/>
    <col min="14091" max="14091" width="10.33203125" customWidth="1"/>
    <col min="14337" max="14337" width="17.5546875" customWidth="1"/>
    <col min="14338" max="14339" width="11.33203125" customWidth="1"/>
    <col min="14340" max="14340" width="10.6640625" customWidth="1"/>
    <col min="14341" max="14341" width="10.6640625" bestFit="1" customWidth="1"/>
    <col min="14342" max="14342" width="10.88671875" customWidth="1"/>
    <col min="14344" max="14344" width="10.88671875" customWidth="1"/>
    <col min="14345" max="14345" width="15" customWidth="1"/>
    <col min="14347" max="14347" width="10.33203125" customWidth="1"/>
    <col min="14593" max="14593" width="17.5546875" customWidth="1"/>
    <col min="14594" max="14595" width="11.33203125" customWidth="1"/>
    <col min="14596" max="14596" width="10.6640625" customWidth="1"/>
    <col min="14597" max="14597" width="10.6640625" bestFit="1" customWidth="1"/>
    <col min="14598" max="14598" width="10.88671875" customWidth="1"/>
    <col min="14600" max="14600" width="10.88671875" customWidth="1"/>
    <col min="14601" max="14601" width="15" customWidth="1"/>
    <col min="14603" max="14603" width="10.33203125" customWidth="1"/>
    <col min="14849" max="14849" width="17.5546875" customWidth="1"/>
    <col min="14850" max="14851" width="11.33203125" customWidth="1"/>
    <col min="14852" max="14852" width="10.6640625" customWidth="1"/>
    <col min="14853" max="14853" width="10.6640625" bestFit="1" customWidth="1"/>
    <col min="14854" max="14854" width="10.88671875" customWidth="1"/>
    <col min="14856" max="14856" width="10.88671875" customWidth="1"/>
    <col min="14857" max="14857" width="15" customWidth="1"/>
    <col min="14859" max="14859" width="10.33203125" customWidth="1"/>
    <col min="15105" max="15105" width="17.5546875" customWidth="1"/>
    <col min="15106" max="15107" width="11.33203125" customWidth="1"/>
    <col min="15108" max="15108" width="10.6640625" customWidth="1"/>
    <col min="15109" max="15109" width="10.6640625" bestFit="1" customWidth="1"/>
    <col min="15110" max="15110" width="10.88671875" customWidth="1"/>
    <col min="15112" max="15112" width="10.88671875" customWidth="1"/>
    <col min="15113" max="15113" width="15" customWidth="1"/>
    <col min="15115" max="15115" width="10.33203125" customWidth="1"/>
    <col min="15361" max="15361" width="17.5546875" customWidth="1"/>
    <col min="15362" max="15363" width="11.33203125" customWidth="1"/>
    <col min="15364" max="15364" width="10.6640625" customWidth="1"/>
    <col min="15365" max="15365" width="10.6640625" bestFit="1" customWidth="1"/>
    <col min="15366" max="15366" width="10.88671875" customWidth="1"/>
    <col min="15368" max="15368" width="10.88671875" customWidth="1"/>
    <col min="15369" max="15369" width="15" customWidth="1"/>
    <col min="15371" max="15371" width="10.33203125" customWidth="1"/>
    <col min="15617" max="15617" width="17.5546875" customWidth="1"/>
    <col min="15618" max="15619" width="11.33203125" customWidth="1"/>
    <col min="15620" max="15620" width="10.6640625" customWidth="1"/>
    <col min="15621" max="15621" width="10.6640625" bestFit="1" customWidth="1"/>
    <col min="15622" max="15622" width="10.88671875" customWidth="1"/>
    <col min="15624" max="15624" width="10.88671875" customWidth="1"/>
    <col min="15625" max="15625" width="15" customWidth="1"/>
    <col min="15627" max="15627" width="10.33203125" customWidth="1"/>
    <col min="15873" max="15873" width="17.5546875" customWidth="1"/>
    <col min="15874" max="15875" width="11.33203125" customWidth="1"/>
    <col min="15876" max="15876" width="10.6640625" customWidth="1"/>
    <col min="15877" max="15877" width="10.6640625" bestFit="1" customWidth="1"/>
    <col min="15878" max="15878" width="10.88671875" customWidth="1"/>
    <col min="15880" max="15880" width="10.88671875" customWidth="1"/>
    <col min="15881" max="15881" width="15" customWidth="1"/>
    <col min="15883" max="15883" width="10.33203125" customWidth="1"/>
    <col min="16129" max="16129" width="17.5546875" customWidth="1"/>
    <col min="16130" max="16131" width="11.33203125" customWidth="1"/>
    <col min="16132" max="16132" width="10.6640625" customWidth="1"/>
    <col min="16133" max="16133" width="10.6640625" bestFit="1" customWidth="1"/>
    <col min="16134" max="16134" width="10.88671875" customWidth="1"/>
    <col min="16136" max="16136" width="10.88671875" customWidth="1"/>
    <col min="16137" max="16137" width="15" customWidth="1"/>
    <col min="16139" max="16139" width="10.33203125" customWidth="1"/>
  </cols>
  <sheetData>
    <row r="2" spans="1:9" x14ac:dyDescent="0.25">
      <c r="A2" t="s">
        <v>76</v>
      </c>
      <c r="B2">
        <v>27</v>
      </c>
    </row>
    <row r="3" spans="1:9" ht="39.75" customHeight="1" x14ac:dyDescent="0.25">
      <c r="A3" s="58" t="s">
        <v>90</v>
      </c>
      <c r="B3">
        <v>0.3</v>
      </c>
      <c r="D3" s="51" t="s">
        <v>77</v>
      </c>
      <c r="E3" s="51" t="s">
        <v>78</v>
      </c>
      <c r="F3" s="52" t="s">
        <v>79</v>
      </c>
      <c r="H3" s="1"/>
      <c r="I3" s="51" t="s">
        <v>77</v>
      </c>
    </row>
    <row r="4" spans="1:9" x14ac:dyDescent="0.25">
      <c r="A4" t="s">
        <v>80</v>
      </c>
      <c r="B4">
        <v>0.4</v>
      </c>
      <c r="D4" s="53">
        <v>25</v>
      </c>
      <c r="E4" s="53">
        <v>0.1</v>
      </c>
      <c r="F4" s="54">
        <f>E4</f>
        <v>0.1</v>
      </c>
      <c r="H4" s="1">
        <v>0</v>
      </c>
      <c r="I4" s="53">
        <v>25</v>
      </c>
    </row>
    <row r="5" spans="1:9" x14ac:dyDescent="0.25">
      <c r="A5" t="s">
        <v>81</v>
      </c>
      <c r="B5">
        <v>1</v>
      </c>
      <c r="D5" s="53">
        <v>26</v>
      </c>
      <c r="E5" s="53">
        <v>0.1</v>
      </c>
      <c r="F5" s="54">
        <f>F4+E5</f>
        <v>0.2</v>
      </c>
      <c r="H5" s="1">
        <v>0.1</v>
      </c>
      <c r="I5" s="53">
        <v>26</v>
      </c>
    </row>
    <row r="6" spans="1:9" x14ac:dyDescent="0.25">
      <c r="A6" t="s">
        <v>82</v>
      </c>
      <c r="B6">
        <v>0.05</v>
      </c>
      <c r="D6" s="53">
        <v>27</v>
      </c>
      <c r="E6" s="53">
        <v>0.2</v>
      </c>
      <c r="F6" s="54">
        <f>F5+E6</f>
        <v>0.4</v>
      </c>
      <c r="H6" s="1">
        <v>0.2</v>
      </c>
      <c r="I6" s="53">
        <v>27</v>
      </c>
    </row>
    <row r="7" spans="1:9" x14ac:dyDescent="0.25">
      <c r="D7" s="53">
        <v>28</v>
      </c>
      <c r="E7" s="53">
        <v>0.25</v>
      </c>
      <c r="F7" s="54">
        <f>F6+E7</f>
        <v>0.65</v>
      </c>
      <c r="H7" s="1">
        <v>0.4</v>
      </c>
      <c r="I7" s="53">
        <v>28</v>
      </c>
    </row>
    <row r="8" spans="1:9" x14ac:dyDescent="0.25">
      <c r="D8" s="53">
        <v>29</v>
      </c>
      <c r="E8" s="53">
        <v>0.2</v>
      </c>
      <c r="F8" s="54">
        <f>F7+E8</f>
        <v>0.85000000000000009</v>
      </c>
      <c r="H8" s="1">
        <v>0.65</v>
      </c>
      <c r="I8" s="53">
        <v>29</v>
      </c>
    </row>
    <row r="9" spans="1:9" x14ac:dyDescent="0.25">
      <c r="D9" s="53">
        <v>30</v>
      </c>
      <c r="E9" s="53">
        <v>0.15</v>
      </c>
      <c r="F9" s="54">
        <f>F8+E9</f>
        <v>1</v>
      </c>
      <c r="H9" s="1">
        <v>0.85</v>
      </c>
      <c r="I9" s="53">
        <v>30</v>
      </c>
    </row>
    <row r="12" spans="1:9" x14ac:dyDescent="0.25">
      <c r="E12" t="s">
        <v>83</v>
      </c>
    </row>
    <row r="13" spans="1:9" x14ac:dyDescent="0.25">
      <c r="E13">
        <f ca="1">AVERAGE(C18:C117)</f>
        <v>1.5904999999999989</v>
      </c>
      <c r="H13" s="55" t="s">
        <v>76</v>
      </c>
      <c r="I13" s="55" t="s">
        <v>84</v>
      </c>
    </row>
    <row r="14" spans="1:9" x14ac:dyDescent="0.25">
      <c r="H14" s="56"/>
      <c r="I14" s="56">
        <f ca="1">E13</f>
        <v>1.5904999999999989</v>
      </c>
    </row>
    <row r="15" spans="1:9" x14ac:dyDescent="0.25">
      <c r="A15" t="s">
        <v>85</v>
      </c>
      <c r="H15" s="56">
        <v>25</v>
      </c>
      <c r="I15" s="56">
        <f t="dataTable" ref="I15:I20" dt2D="0" dtr="0" r1="B2" ca="1"/>
        <v>-3.9999999999999508E-2</v>
      </c>
    </row>
    <row r="16" spans="1:9" x14ac:dyDescent="0.25">
      <c r="H16" s="56">
        <v>26</v>
      </c>
      <c r="I16" s="56">
        <v>0.58850000000000124</v>
      </c>
    </row>
    <row r="17" spans="1:9" x14ac:dyDescent="0.25">
      <c r="A17" t="s">
        <v>86</v>
      </c>
      <c r="B17" t="s">
        <v>87</v>
      </c>
      <c r="C17" t="s">
        <v>88</v>
      </c>
      <c r="H17" s="56">
        <v>27</v>
      </c>
      <c r="I17" s="56">
        <v>1.4890000000000003</v>
      </c>
    </row>
    <row r="18" spans="1:9" x14ac:dyDescent="0.25">
      <c r="A18">
        <v>1</v>
      </c>
      <c r="B18">
        <f t="shared" ref="B18:B49" ca="1" si="0">VLOOKUP(RAND(),cumulative_prob,2,TRUE)</f>
        <v>29</v>
      </c>
      <c r="C18">
        <f ca="1">IF(B18&gt;=$B$2,($B$4-$B$3)*$B$2-(B18-$B$2)*$B$5,($B$4-$B$3)*B18-($B$2-B18)*($B$3-$B$6))</f>
        <v>0.70000000000000107</v>
      </c>
      <c r="H18" s="56">
        <v>28</v>
      </c>
      <c r="I18" s="56">
        <v>1.9395000000000016</v>
      </c>
    </row>
    <row r="19" spans="1:9" x14ac:dyDescent="0.25">
      <c r="A19">
        <v>2</v>
      </c>
      <c r="B19">
        <f t="shared" ca="1" si="0"/>
        <v>26</v>
      </c>
      <c r="C19">
        <f ca="1">IF(B19&gt;=$B$2,($B$4-$B$3)*$B$2-(B19-$B$2)*$B$5,($B$4-$B$3)*B19-($B$2-B19)*($B$3-$B$6))</f>
        <v>2.350000000000001</v>
      </c>
      <c r="H19" s="56">
        <v>29</v>
      </c>
      <c r="I19" s="56">
        <v>2.2345000000000015</v>
      </c>
    </row>
    <row r="20" spans="1:9" x14ac:dyDescent="0.25">
      <c r="A20">
        <v>3</v>
      </c>
      <c r="B20">
        <f t="shared" ca="1" si="0"/>
        <v>27</v>
      </c>
      <c r="C20">
        <f t="shared" ref="C20:C83" ca="1" si="1">IF(B20&gt;=$B$2,($B$4-$B$3)*$B$2-(B20-$B$2)*$B$5,($B$4-$B$3)*B20-($B$2-B20)*($B$3-$B$6))</f>
        <v>2.7000000000000011</v>
      </c>
      <c r="H20" s="56">
        <v>30</v>
      </c>
      <c r="I20" s="56">
        <v>2.226500000000001</v>
      </c>
    </row>
    <row r="21" spans="1:9" x14ac:dyDescent="0.25">
      <c r="A21">
        <v>4</v>
      </c>
      <c r="B21">
        <f t="shared" ca="1" si="0"/>
        <v>27</v>
      </c>
      <c r="C21">
        <f t="shared" ca="1" si="1"/>
        <v>2.7000000000000011</v>
      </c>
    </row>
    <row r="22" spans="1:9" x14ac:dyDescent="0.25">
      <c r="A22">
        <v>5</v>
      </c>
      <c r="B22">
        <f t="shared" ca="1" si="0"/>
        <v>26</v>
      </c>
      <c r="C22">
        <f t="shared" ca="1" si="1"/>
        <v>2.350000000000001</v>
      </c>
    </row>
    <row r="23" spans="1:9" x14ac:dyDescent="0.25">
      <c r="A23">
        <v>6</v>
      </c>
      <c r="B23">
        <f t="shared" ca="1" si="0"/>
        <v>25</v>
      </c>
      <c r="C23">
        <f t="shared" ca="1" si="1"/>
        <v>2.0000000000000009</v>
      </c>
    </row>
    <row r="24" spans="1:9" x14ac:dyDescent="0.25">
      <c r="A24">
        <v>7</v>
      </c>
      <c r="B24">
        <f t="shared" ca="1" si="0"/>
        <v>28</v>
      </c>
      <c r="C24">
        <f t="shared" ca="1" si="1"/>
        <v>1.7000000000000011</v>
      </c>
    </row>
    <row r="25" spans="1:9" x14ac:dyDescent="0.25">
      <c r="A25">
        <v>8</v>
      </c>
      <c r="B25">
        <f t="shared" ca="1" si="0"/>
        <v>27</v>
      </c>
      <c r="C25">
        <f t="shared" ca="1" si="1"/>
        <v>2.7000000000000011</v>
      </c>
    </row>
    <row r="26" spans="1:9" x14ac:dyDescent="0.25">
      <c r="A26">
        <v>9</v>
      </c>
      <c r="B26">
        <f t="shared" ca="1" si="0"/>
        <v>27</v>
      </c>
      <c r="C26">
        <f t="shared" ca="1" si="1"/>
        <v>2.7000000000000011</v>
      </c>
    </row>
    <row r="27" spans="1:9" x14ac:dyDescent="0.25">
      <c r="A27">
        <v>10</v>
      </c>
      <c r="B27">
        <f t="shared" ca="1" si="0"/>
        <v>29</v>
      </c>
      <c r="C27">
        <f t="shared" ca="1" si="1"/>
        <v>0.70000000000000107</v>
      </c>
    </row>
    <row r="28" spans="1:9" x14ac:dyDescent="0.25">
      <c r="A28">
        <v>11</v>
      </c>
      <c r="B28">
        <f t="shared" ca="1" si="0"/>
        <v>25</v>
      </c>
      <c r="C28">
        <f t="shared" ca="1" si="1"/>
        <v>2.0000000000000009</v>
      </c>
    </row>
    <row r="29" spans="1:9" x14ac:dyDescent="0.25">
      <c r="A29">
        <v>12</v>
      </c>
      <c r="B29">
        <f t="shared" ca="1" si="0"/>
        <v>25</v>
      </c>
      <c r="C29">
        <f t="shared" ca="1" si="1"/>
        <v>2.0000000000000009</v>
      </c>
    </row>
    <row r="30" spans="1:9" x14ac:dyDescent="0.25">
      <c r="A30">
        <v>13</v>
      </c>
      <c r="B30">
        <f t="shared" ca="1" si="0"/>
        <v>28</v>
      </c>
      <c r="C30">
        <f t="shared" ca="1" si="1"/>
        <v>1.7000000000000011</v>
      </c>
    </row>
    <row r="31" spans="1:9" x14ac:dyDescent="0.25">
      <c r="A31">
        <v>14</v>
      </c>
      <c r="B31">
        <f t="shared" ca="1" si="0"/>
        <v>28</v>
      </c>
      <c r="C31">
        <f t="shared" ca="1" si="1"/>
        <v>1.7000000000000011</v>
      </c>
    </row>
    <row r="32" spans="1:9" x14ac:dyDescent="0.25">
      <c r="A32">
        <v>15</v>
      </c>
      <c r="B32">
        <f t="shared" ca="1" si="0"/>
        <v>27</v>
      </c>
      <c r="C32">
        <f t="shared" ca="1" si="1"/>
        <v>2.7000000000000011</v>
      </c>
    </row>
    <row r="33" spans="1:3" x14ac:dyDescent="0.25">
      <c r="A33">
        <v>16</v>
      </c>
      <c r="B33">
        <f t="shared" ca="1" si="0"/>
        <v>25</v>
      </c>
      <c r="C33">
        <f t="shared" ca="1" si="1"/>
        <v>2.0000000000000009</v>
      </c>
    </row>
    <row r="34" spans="1:3" x14ac:dyDescent="0.25">
      <c r="A34">
        <v>17</v>
      </c>
      <c r="B34">
        <f t="shared" ca="1" si="0"/>
        <v>28</v>
      </c>
      <c r="C34">
        <f t="shared" ca="1" si="1"/>
        <v>1.7000000000000011</v>
      </c>
    </row>
    <row r="35" spans="1:3" x14ac:dyDescent="0.25">
      <c r="A35">
        <v>18</v>
      </c>
      <c r="B35">
        <f t="shared" ca="1" si="0"/>
        <v>28</v>
      </c>
      <c r="C35">
        <f t="shared" ca="1" si="1"/>
        <v>1.7000000000000011</v>
      </c>
    </row>
    <row r="36" spans="1:3" x14ac:dyDescent="0.25">
      <c r="A36">
        <v>19</v>
      </c>
      <c r="B36">
        <f t="shared" ca="1" si="0"/>
        <v>28</v>
      </c>
      <c r="C36">
        <f t="shared" ca="1" si="1"/>
        <v>1.7000000000000011</v>
      </c>
    </row>
    <row r="37" spans="1:3" x14ac:dyDescent="0.25">
      <c r="A37">
        <v>20</v>
      </c>
      <c r="B37">
        <f t="shared" ca="1" si="0"/>
        <v>28</v>
      </c>
      <c r="C37">
        <f t="shared" ca="1" si="1"/>
        <v>1.7000000000000011</v>
      </c>
    </row>
    <row r="38" spans="1:3" x14ac:dyDescent="0.25">
      <c r="A38">
        <v>21</v>
      </c>
      <c r="B38">
        <f t="shared" ca="1" si="0"/>
        <v>30</v>
      </c>
      <c r="C38">
        <f t="shared" ca="1" si="1"/>
        <v>-0.29999999999999893</v>
      </c>
    </row>
    <row r="39" spans="1:3" x14ac:dyDescent="0.25">
      <c r="A39">
        <v>22</v>
      </c>
      <c r="B39">
        <f t="shared" ca="1" si="0"/>
        <v>30</v>
      </c>
      <c r="C39">
        <f t="shared" ca="1" si="1"/>
        <v>-0.29999999999999893</v>
      </c>
    </row>
    <row r="40" spans="1:3" x14ac:dyDescent="0.25">
      <c r="A40">
        <v>23</v>
      </c>
      <c r="B40">
        <f t="shared" ca="1" si="0"/>
        <v>27</v>
      </c>
      <c r="C40">
        <f t="shared" ca="1" si="1"/>
        <v>2.7000000000000011</v>
      </c>
    </row>
    <row r="41" spans="1:3" x14ac:dyDescent="0.25">
      <c r="A41">
        <v>24</v>
      </c>
      <c r="B41">
        <f t="shared" ca="1" si="0"/>
        <v>29</v>
      </c>
      <c r="C41">
        <f t="shared" ca="1" si="1"/>
        <v>0.70000000000000107</v>
      </c>
    </row>
    <row r="42" spans="1:3" x14ac:dyDescent="0.25">
      <c r="A42">
        <v>25</v>
      </c>
      <c r="B42">
        <f t="shared" ca="1" si="0"/>
        <v>29</v>
      </c>
      <c r="C42">
        <f t="shared" ca="1" si="1"/>
        <v>0.70000000000000107</v>
      </c>
    </row>
    <row r="43" spans="1:3" x14ac:dyDescent="0.25">
      <c r="A43">
        <v>26</v>
      </c>
      <c r="B43">
        <f t="shared" ca="1" si="0"/>
        <v>29</v>
      </c>
      <c r="C43">
        <f t="shared" ca="1" si="1"/>
        <v>0.70000000000000107</v>
      </c>
    </row>
    <row r="44" spans="1:3" x14ac:dyDescent="0.25">
      <c r="A44">
        <v>27</v>
      </c>
      <c r="B44">
        <f t="shared" ca="1" si="0"/>
        <v>26</v>
      </c>
      <c r="C44">
        <f t="shared" ca="1" si="1"/>
        <v>2.350000000000001</v>
      </c>
    </row>
    <row r="45" spans="1:3" x14ac:dyDescent="0.25">
      <c r="A45">
        <v>28</v>
      </c>
      <c r="B45">
        <f t="shared" ca="1" si="0"/>
        <v>25</v>
      </c>
      <c r="C45">
        <f t="shared" ca="1" si="1"/>
        <v>2.0000000000000009</v>
      </c>
    </row>
    <row r="46" spans="1:3" x14ac:dyDescent="0.25">
      <c r="A46">
        <v>29</v>
      </c>
      <c r="B46">
        <f t="shared" ca="1" si="0"/>
        <v>26</v>
      </c>
      <c r="C46">
        <f t="shared" ca="1" si="1"/>
        <v>2.350000000000001</v>
      </c>
    </row>
    <row r="47" spans="1:3" x14ac:dyDescent="0.25">
      <c r="A47">
        <v>30</v>
      </c>
      <c r="B47">
        <f t="shared" ca="1" si="0"/>
        <v>29</v>
      </c>
      <c r="C47">
        <f t="shared" ca="1" si="1"/>
        <v>0.70000000000000107</v>
      </c>
    </row>
    <row r="48" spans="1:3" x14ac:dyDescent="0.25">
      <c r="A48">
        <v>31</v>
      </c>
      <c r="B48">
        <f t="shared" ca="1" si="0"/>
        <v>28</v>
      </c>
      <c r="C48">
        <f t="shared" ca="1" si="1"/>
        <v>1.7000000000000011</v>
      </c>
    </row>
    <row r="49" spans="1:3" x14ac:dyDescent="0.25">
      <c r="A49">
        <v>32</v>
      </c>
      <c r="B49">
        <f t="shared" ca="1" si="0"/>
        <v>28</v>
      </c>
      <c r="C49">
        <f t="shared" ca="1" si="1"/>
        <v>1.7000000000000011</v>
      </c>
    </row>
    <row r="50" spans="1:3" x14ac:dyDescent="0.25">
      <c r="A50">
        <v>33</v>
      </c>
      <c r="B50">
        <f t="shared" ref="B50:B81" ca="1" si="2">VLOOKUP(RAND(),cumulative_prob,2,TRUE)</f>
        <v>28</v>
      </c>
      <c r="C50">
        <f t="shared" ca="1" si="1"/>
        <v>1.7000000000000011</v>
      </c>
    </row>
    <row r="51" spans="1:3" x14ac:dyDescent="0.25">
      <c r="A51">
        <v>34</v>
      </c>
      <c r="B51">
        <f t="shared" ca="1" si="2"/>
        <v>28</v>
      </c>
      <c r="C51">
        <f t="shared" ca="1" si="1"/>
        <v>1.7000000000000011</v>
      </c>
    </row>
    <row r="52" spans="1:3" x14ac:dyDescent="0.25">
      <c r="A52">
        <v>35</v>
      </c>
      <c r="B52">
        <f t="shared" ca="1" si="2"/>
        <v>28</v>
      </c>
      <c r="C52">
        <f t="shared" ca="1" si="1"/>
        <v>1.7000000000000011</v>
      </c>
    </row>
    <row r="53" spans="1:3" x14ac:dyDescent="0.25">
      <c r="A53">
        <v>36</v>
      </c>
      <c r="B53">
        <f t="shared" ca="1" si="2"/>
        <v>25</v>
      </c>
      <c r="C53">
        <f t="shared" ca="1" si="1"/>
        <v>2.0000000000000009</v>
      </c>
    </row>
    <row r="54" spans="1:3" x14ac:dyDescent="0.25">
      <c r="A54">
        <v>37</v>
      </c>
      <c r="B54">
        <f t="shared" ca="1" si="2"/>
        <v>29</v>
      </c>
      <c r="C54">
        <f t="shared" ca="1" si="1"/>
        <v>0.70000000000000107</v>
      </c>
    </row>
    <row r="55" spans="1:3" x14ac:dyDescent="0.25">
      <c r="A55">
        <v>38</v>
      </c>
      <c r="B55">
        <f t="shared" ca="1" si="2"/>
        <v>27</v>
      </c>
      <c r="C55">
        <f t="shared" ca="1" si="1"/>
        <v>2.7000000000000011</v>
      </c>
    </row>
    <row r="56" spans="1:3" x14ac:dyDescent="0.25">
      <c r="A56">
        <v>39</v>
      </c>
      <c r="B56">
        <f t="shared" ca="1" si="2"/>
        <v>26</v>
      </c>
      <c r="C56">
        <f t="shared" ca="1" si="1"/>
        <v>2.350000000000001</v>
      </c>
    </row>
    <row r="57" spans="1:3" x14ac:dyDescent="0.25">
      <c r="A57">
        <v>40</v>
      </c>
      <c r="B57">
        <f t="shared" ca="1" si="2"/>
        <v>30</v>
      </c>
      <c r="C57">
        <f t="shared" ca="1" si="1"/>
        <v>-0.29999999999999893</v>
      </c>
    </row>
    <row r="58" spans="1:3" x14ac:dyDescent="0.25">
      <c r="A58">
        <v>41</v>
      </c>
      <c r="B58">
        <f t="shared" ca="1" si="2"/>
        <v>26</v>
      </c>
      <c r="C58">
        <f t="shared" ca="1" si="1"/>
        <v>2.350000000000001</v>
      </c>
    </row>
    <row r="59" spans="1:3" x14ac:dyDescent="0.25">
      <c r="A59">
        <v>42</v>
      </c>
      <c r="B59">
        <f t="shared" ca="1" si="2"/>
        <v>29</v>
      </c>
      <c r="C59">
        <f t="shared" ca="1" si="1"/>
        <v>0.70000000000000107</v>
      </c>
    </row>
    <row r="60" spans="1:3" x14ac:dyDescent="0.25">
      <c r="A60">
        <v>43</v>
      </c>
      <c r="B60">
        <f t="shared" ca="1" si="2"/>
        <v>27</v>
      </c>
      <c r="C60">
        <f t="shared" ca="1" si="1"/>
        <v>2.7000000000000011</v>
      </c>
    </row>
    <row r="61" spans="1:3" x14ac:dyDescent="0.25">
      <c r="A61">
        <v>44</v>
      </c>
      <c r="B61">
        <f t="shared" ca="1" si="2"/>
        <v>28</v>
      </c>
      <c r="C61">
        <f t="shared" ca="1" si="1"/>
        <v>1.7000000000000011</v>
      </c>
    </row>
    <row r="62" spans="1:3" x14ac:dyDescent="0.25">
      <c r="A62">
        <v>45</v>
      </c>
      <c r="B62">
        <f t="shared" ca="1" si="2"/>
        <v>29</v>
      </c>
      <c r="C62">
        <f t="shared" ca="1" si="1"/>
        <v>0.70000000000000107</v>
      </c>
    </row>
    <row r="63" spans="1:3" x14ac:dyDescent="0.25">
      <c r="A63">
        <v>46</v>
      </c>
      <c r="B63">
        <f t="shared" ca="1" si="2"/>
        <v>26</v>
      </c>
      <c r="C63">
        <f t="shared" ca="1" si="1"/>
        <v>2.350000000000001</v>
      </c>
    </row>
    <row r="64" spans="1:3" x14ac:dyDescent="0.25">
      <c r="A64">
        <v>47</v>
      </c>
      <c r="B64">
        <f t="shared" ca="1" si="2"/>
        <v>27</v>
      </c>
      <c r="C64">
        <f t="shared" ca="1" si="1"/>
        <v>2.7000000000000011</v>
      </c>
    </row>
    <row r="65" spans="1:3" x14ac:dyDescent="0.25">
      <c r="A65">
        <v>48</v>
      </c>
      <c r="B65">
        <f t="shared" ca="1" si="2"/>
        <v>29</v>
      </c>
      <c r="C65">
        <f t="shared" ca="1" si="1"/>
        <v>0.70000000000000107</v>
      </c>
    </row>
    <row r="66" spans="1:3" x14ac:dyDescent="0.25">
      <c r="A66">
        <v>49</v>
      </c>
      <c r="B66">
        <f t="shared" ca="1" si="2"/>
        <v>25</v>
      </c>
      <c r="C66">
        <f t="shared" ca="1" si="1"/>
        <v>2.0000000000000009</v>
      </c>
    </row>
    <row r="67" spans="1:3" x14ac:dyDescent="0.25">
      <c r="A67">
        <v>50</v>
      </c>
      <c r="B67">
        <f t="shared" ca="1" si="2"/>
        <v>26</v>
      </c>
      <c r="C67">
        <f t="shared" ca="1" si="1"/>
        <v>2.350000000000001</v>
      </c>
    </row>
    <row r="68" spans="1:3" x14ac:dyDescent="0.25">
      <c r="A68">
        <v>51</v>
      </c>
      <c r="B68">
        <f t="shared" ca="1" si="2"/>
        <v>29</v>
      </c>
      <c r="C68">
        <f t="shared" ca="1" si="1"/>
        <v>0.70000000000000107</v>
      </c>
    </row>
    <row r="69" spans="1:3" x14ac:dyDescent="0.25">
      <c r="A69">
        <v>52</v>
      </c>
      <c r="B69">
        <f t="shared" ca="1" si="2"/>
        <v>30</v>
      </c>
      <c r="C69">
        <f t="shared" ca="1" si="1"/>
        <v>-0.29999999999999893</v>
      </c>
    </row>
    <row r="70" spans="1:3" x14ac:dyDescent="0.25">
      <c r="A70">
        <v>53</v>
      </c>
      <c r="B70">
        <f t="shared" ca="1" si="2"/>
        <v>27</v>
      </c>
      <c r="C70">
        <f t="shared" ca="1" si="1"/>
        <v>2.7000000000000011</v>
      </c>
    </row>
    <row r="71" spans="1:3" x14ac:dyDescent="0.25">
      <c r="A71">
        <v>54</v>
      </c>
      <c r="B71">
        <f t="shared" ca="1" si="2"/>
        <v>28</v>
      </c>
      <c r="C71">
        <f t="shared" ca="1" si="1"/>
        <v>1.7000000000000011</v>
      </c>
    </row>
    <row r="72" spans="1:3" x14ac:dyDescent="0.25">
      <c r="A72">
        <v>55</v>
      </c>
      <c r="B72">
        <f t="shared" ca="1" si="2"/>
        <v>25</v>
      </c>
      <c r="C72">
        <f t="shared" ca="1" si="1"/>
        <v>2.0000000000000009</v>
      </c>
    </row>
    <row r="73" spans="1:3" x14ac:dyDescent="0.25">
      <c r="A73">
        <v>56</v>
      </c>
      <c r="B73">
        <f t="shared" ca="1" si="2"/>
        <v>28</v>
      </c>
      <c r="C73">
        <f t="shared" ca="1" si="1"/>
        <v>1.7000000000000011</v>
      </c>
    </row>
    <row r="74" spans="1:3" x14ac:dyDescent="0.25">
      <c r="A74">
        <v>57</v>
      </c>
      <c r="B74">
        <f t="shared" ca="1" si="2"/>
        <v>29</v>
      </c>
      <c r="C74">
        <f t="shared" ca="1" si="1"/>
        <v>0.70000000000000107</v>
      </c>
    </row>
    <row r="75" spans="1:3" x14ac:dyDescent="0.25">
      <c r="A75">
        <v>58</v>
      </c>
      <c r="B75">
        <f t="shared" ca="1" si="2"/>
        <v>29</v>
      </c>
      <c r="C75">
        <f t="shared" ca="1" si="1"/>
        <v>0.70000000000000107</v>
      </c>
    </row>
    <row r="76" spans="1:3" x14ac:dyDescent="0.25">
      <c r="A76">
        <v>59</v>
      </c>
      <c r="B76">
        <f t="shared" ca="1" si="2"/>
        <v>26</v>
      </c>
      <c r="C76">
        <f t="shared" ca="1" si="1"/>
        <v>2.350000000000001</v>
      </c>
    </row>
    <row r="77" spans="1:3" x14ac:dyDescent="0.25">
      <c r="A77">
        <v>60</v>
      </c>
      <c r="B77">
        <f t="shared" ca="1" si="2"/>
        <v>27</v>
      </c>
      <c r="C77">
        <f t="shared" ca="1" si="1"/>
        <v>2.7000000000000011</v>
      </c>
    </row>
    <row r="78" spans="1:3" x14ac:dyDescent="0.25">
      <c r="A78">
        <v>61</v>
      </c>
      <c r="B78">
        <f t="shared" ca="1" si="2"/>
        <v>27</v>
      </c>
      <c r="C78">
        <f t="shared" ca="1" si="1"/>
        <v>2.7000000000000011</v>
      </c>
    </row>
    <row r="79" spans="1:3" x14ac:dyDescent="0.25">
      <c r="A79">
        <v>62</v>
      </c>
      <c r="B79">
        <f t="shared" ca="1" si="2"/>
        <v>28</v>
      </c>
      <c r="C79">
        <f t="shared" ca="1" si="1"/>
        <v>1.7000000000000011</v>
      </c>
    </row>
    <row r="80" spans="1:3" x14ac:dyDescent="0.25">
      <c r="A80">
        <v>63</v>
      </c>
      <c r="B80">
        <f t="shared" ca="1" si="2"/>
        <v>28</v>
      </c>
      <c r="C80">
        <f t="shared" ca="1" si="1"/>
        <v>1.7000000000000011</v>
      </c>
    </row>
    <row r="81" spans="1:3" x14ac:dyDescent="0.25">
      <c r="A81">
        <v>64</v>
      </c>
      <c r="B81">
        <f t="shared" ca="1" si="2"/>
        <v>25</v>
      </c>
      <c r="C81">
        <f t="shared" ca="1" si="1"/>
        <v>2.0000000000000009</v>
      </c>
    </row>
    <row r="82" spans="1:3" x14ac:dyDescent="0.25">
      <c r="A82">
        <v>65</v>
      </c>
      <c r="B82">
        <f t="shared" ref="B82:B117" ca="1" si="3">VLOOKUP(RAND(),cumulative_prob,2,TRUE)</f>
        <v>30</v>
      </c>
      <c r="C82">
        <f t="shared" ca="1" si="1"/>
        <v>-0.29999999999999893</v>
      </c>
    </row>
    <row r="83" spans="1:3" x14ac:dyDescent="0.25">
      <c r="A83">
        <v>66</v>
      </c>
      <c r="B83">
        <f t="shared" ca="1" si="3"/>
        <v>29</v>
      </c>
      <c r="C83">
        <f t="shared" ca="1" si="1"/>
        <v>0.70000000000000107</v>
      </c>
    </row>
    <row r="84" spans="1:3" x14ac:dyDescent="0.25">
      <c r="A84">
        <v>67</v>
      </c>
      <c r="B84">
        <f t="shared" ca="1" si="3"/>
        <v>26</v>
      </c>
      <c r="C84">
        <f t="shared" ref="C84:C117" ca="1" si="4">IF(B84&gt;=$B$2,($B$4-$B$3)*$B$2-(B84-$B$2)*$B$5,($B$4-$B$3)*B84-($B$2-B84)*($B$3-$B$6))</f>
        <v>2.350000000000001</v>
      </c>
    </row>
    <row r="85" spans="1:3" x14ac:dyDescent="0.25">
      <c r="A85">
        <v>68</v>
      </c>
      <c r="B85">
        <f t="shared" ca="1" si="3"/>
        <v>26</v>
      </c>
      <c r="C85">
        <f t="shared" ca="1" si="4"/>
        <v>2.350000000000001</v>
      </c>
    </row>
    <row r="86" spans="1:3" x14ac:dyDescent="0.25">
      <c r="A86">
        <v>69</v>
      </c>
      <c r="B86">
        <f t="shared" ca="1" si="3"/>
        <v>25</v>
      </c>
      <c r="C86">
        <f t="shared" ca="1" si="4"/>
        <v>2.0000000000000009</v>
      </c>
    </row>
    <row r="87" spans="1:3" x14ac:dyDescent="0.25">
      <c r="A87">
        <v>70</v>
      </c>
      <c r="B87">
        <f t="shared" ca="1" si="3"/>
        <v>29</v>
      </c>
      <c r="C87">
        <f t="shared" ca="1" si="4"/>
        <v>0.70000000000000107</v>
      </c>
    </row>
    <row r="88" spans="1:3" x14ac:dyDescent="0.25">
      <c r="A88">
        <v>71</v>
      </c>
      <c r="B88">
        <f t="shared" ca="1" si="3"/>
        <v>25</v>
      </c>
      <c r="C88">
        <f t="shared" ca="1" si="4"/>
        <v>2.0000000000000009</v>
      </c>
    </row>
    <row r="89" spans="1:3" x14ac:dyDescent="0.25">
      <c r="A89">
        <v>72</v>
      </c>
      <c r="B89">
        <f t="shared" ca="1" si="3"/>
        <v>27</v>
      </c>
      <c r="C89">
        <f t="shared" ca="1" si="4"/>
        <v>2.7000000000000011</v>
      </c>
    </row>
    <row r="90" spans="1:3" x14ac:dyDescent="0.25">
      <c r="A90">
        <v>73</v>
      </c>
      <c r="B90">
        <f t="shared" ca="1" si="3"/>
        <v>29</v>
      </c>
      <c r="C90">
        <f t="shared" ca="1" si="4"/>
        <v>0.70000000000000107</v>
      </c>
    </row>
    <row r="91" spans="1:3" x14ac:dyDescent="0.25">
      <c r="A91">
        <v>74</v>
      </c>
      <c r="B91">
        <f t="shared" ca="1" si="3"/>
        <v>30</v>
      </c>
      <c r="C91">
        <f t="shared" ca="1" si="4"/>
        <v>-0.29999999999999893</v>
      </c>
    </row>
    <row r="92" spans="1:3" x14ac:dyDescent="0.25">
      <c r="A92">
        <v>75</v>
      </c>
      <c r="B92">
        <f t="shared" ca="1" si="3"/>
        <v>27</v>
      </c>
      <c r="C92">
        <f t="shared" ca="1" si="4"/>
        <v>2.7000000000000011</v>
      </c>
    </row>
    <row r="93" spans="1:3" x14ac:dyDescent="0.25">
      <c r="A93">
        <v>76</v>
      </c>
      <c r="B93">
        <f t="shared" ca="1" si="3"/>
        <v>29</v>
      </c>
      <c r="C93">
        <f t="shared" ca="1" si="4"/>
        <v>0.70000000000000107</v>
      </c>
    </row>
    <row r="94" spans="1:3" x14ac:dyDescent="0.25">
      <c r="A94">
        <v>77</v>
      </c>
      <c r="B94">
        <f t="shared" ca="1" si="3"/>
        <v>28</v>
      </c>
      <c r="C94">
        <f t="shared" ca="1" si="4"/>
        <v>1.7000000000000011</v>
      </c>
    </row>
    <row r="95" spans="1:3" x14ac:dyDescent="0.25">
      <c r="A95">
        <v>78</v>
      </c>
      <c r="B95">
        <f t="shared" ca="1" si="3"/>
        <v>30</v>
      </c>
      <c r="C95">
        <f t="shared" ca="1" si="4"/>
        <v>-0.29999999999999893</v>
      </c>
    </row>
    <row r="96" spans="1:3" x14ac:dyDescent="0.25">
      <c r="A96">
        <v>79</v>
      </c>
      <c r="B96">
        <f t="shared" ca="1" si="3"/>
        <v>30</v>
      </c>
      <c r="C96">
        <f t="shared" ca="1" si="4"/>
        <v>-0.29999999999999893</v>
      </c>
    </row>
    <row r="97" spans="1:3" x14ac:dyDescent="0.25">
      <c r="A97">
        <v>80</v>
      </c>
      <c r="B97">
        <f t="shared" ca="1" si="3"/>
        <v>26</v>
      </c>
      <c r="C97">
        <f t="shared" ca="1" si="4"/>
        <v>2.350000000000001</v>
      </c>
    </row>
    <row r="98" spans="1:3" x14ac:dyDescent="0.25">
      <c r="A98">
        <v>81</v>
      </c>
      <c r="B98">
        <f t="shared" ca="1" si="3"/>
        <v>27</v>
      </c>
      <c r="C98">
        <f t="shared" ca="1" si="4"/>
        <v>2.7000000000000011</v>
      </c>
    </row>
    <row r="99" spans="1:3" x14ac:dyDescent="0.25">
      <c r="A99">
        <v>82</v>
      </c>
      <c r="B99">
        <f t="shared" ca="1" si="3"/>
        <v>25</v>
      </c>
      <c r="C99">
        <f t="shared" ca="1" si="4"/>
        <v>2.0000000000000009</v>
      </c>
    </row>
    <row r="100" spans="1:3" x14ac:dyDescent="0.25">
      <c r="A100">
        <v>83</v>
      </c>
      <c r="B100">
        <f t="shared" ca="1" si="3"/>
        <v>28</v>
      </c>
      <c r="C100">
        <f t="shared" ca="1" si="4"/>
        <v>1.7000000000000011</v>
      </c>
    </row>
    <row r="101" spans="1:3" x14ac:dyDescent="0.25">
      <c r="A101">
        <v>84</v>
      </c>
      <c r="B101">
        <f t="shared" ca="1" si="3"/>
        <v>29</v>
      </c>
      <c r="C101">
        <f t="shared" ca="1" si="4"/>
        <v>0.70000000000000107</v>
      </c>
    </row>
    <row r="102" spans="1:3" x14ac:dyDescent="0.25">
      <c r="A102">
        <v>85</v>
      </c>
      <c r="B102">
        <f t="shared" ca="1" si="3"/>
        <v>30</v>
      </c>
      <c r="C102">
        <f t="shared" ca="1" si="4"/>
        <v>-0.29999999999999893</v>
      </c>
    </row>
    <row r="103" spans="1:3" x14ac:dyDescent="0.25">
      <c r="A103">
        <v>86</v>
      </c>
      <c r="B103">
        <f t="shared" ca="1" si="3"/>
        <v>29</v>
      </c>
      <c r="C103">
        <f t="shared" ca="1" si="4"/>
        <v>0.70000000000000107</v>
      </c>
    </row>
    <row r="104" spans="1:3" x14ac:dyDescent="0.25">
      <c r="A104">
        <v>87</v>
      </c>
      <c r="B104">
        <f t="shared" ca="1" si="3"/>
        <v>27</v>
      </c>
      <c r="C104">
        <f t="shared" ca="1" si="4"/>
        <v>2.7000000000000011</v>
      </c>
    </row>
    <row r="105" spans="1:3" x14ac:dyDescent="0.25">
      <c r="A105">
        <v>88</v>
      </c>
      <c r="B105">
        <f t="shared" ca="1" si="3"/>
        <v>28</v>
      </c>
      <c r="C105">
        <f t="shared" ca="1" si="4"/>
        <v>1.7000000000000011</v>
      </c>
    </row>
    <row r="106" spans="1:3" x14ac:dyDescent="0.25">
      <c r="A106">
        <v>89</v>
      </c>
      <c r="B106">
        <f t="shared" ca="1" si="3"/>
        <v>26</v>
      </c>
      <c r="C106">
        <f t="shared" ca="1" si="4"/>
        <v>2.350000000000001</v>
      </c>
    </row>
    <row r="107" spans="1:3" x14ac:dyDescent="0.25">
      <c r="A107">
        <v>90</v>
      </c>
      <c r="B107">
        <f t="shared" ca="1" si="3"/>
        <v>28</v>
      </c>
      <c r="C107">
        <f t="shared" ca="1" si="4"/>
        <v>1.7000000000000011</v>
      </c>
    </row>
    <row r="108" spans="1:3" x14ac:dyDescent="0.25">
      <c r="A108">
        <v>91</v>
      </c>
      <c r="B108">
        <f t="shared" ca="1" si="3"/>
        <v>27</v>
      </c>
      <c r="C108">
        <f t="shared" ca="1" si="4"/>
        <v>2.7000000000000011</v>
      </c>
    </row>
    <row r="109" spans="1:3" x14ac:dyDescent="0.25">
      <c r="A109">
        <v>92</v>
      </c>
      <c r="B109">
        <f t="shared" ca="1" si="3"/>
        <v>30</v>
      </c>
      <c r="C109">
        <f t="shared" ca="1" si="4"/>
        <v>-0.29999999999999893</v>
      </c>
    </row>
    <row r="110" spans="1:3" x14ac:dyDescent="0.25">
      <c r="A110">
        <v>93</v>
      </c>
      <c r="B110">
        <f t="shared" ca="1" si="3"/>
        <v>27</v>
      </c>
      <c r="C110">
        <f t="shared" ca="1" si="4"/>
        <v>2.7000000000000011</v>
      </c>
    </row>
    <row r="111" spans="1:3" x14ac:dyDescent="0.25">
      <c r="A111">
        <v>94</v>
      </c>
      <c r="B111">
        <f t="shared" ca="1" si="3"/>
        <v>28</v>
      </c>
      <c r="C111">
        <f t="shared" ca="1" si="4"/>
        <v>1.7000000000000011</v>
      </c>
    </row>
    <row r="112" spans="1:3" x14ac:dyDescent="0.25">
      <c r="A112">
        <v>95</v>
      </c>
      <c r="B112">
        <f t="shared" ca="1" si="3"/>
        <v>30</v>
      </c>
      <c r="C112">
        <f t="shared" ca="1" si="4"/>
        <v>-0.29999999999999893</v>
      </c>
    </row>
    <row r="113" spans="1:3" x14ac:dyDescent="0.25">
      <c r="A113">
        <v>96</v>
      </c>
      <c r="B113">
        <f t="shared" ca="1" si="3"/>
        <v>28</v>
      </c>
      <c r="C113">
        <f t="shared" ca="1" si="4"/>
        <v>1.7000000000000011</v>
      </c>
    </row>
    <row r="114" spans="1:3" x14ac:dyDescent="0.25">
      <c r="A114">
        <v>97</v>
      </c>
      <c r="B114">
        <f t="shared" ca="1" si="3"/>
        <v>27</v>
      </c>
      <c r="C114">
        <f t="shared" ca="1" si="4"/>
        <v>2.7000000000000011</v>
      </c>
    </row>
    <row r="115" spans="1:3" x14ac:dyDescent="0.25">
      <c r="A115">
        <v>98</v>
      </c>
      <c r="B115">
        <f t="shared" ca="1" si="3"/>
        <v>27</v>
      </c>
      <c r="C115">
        <f t="shared" ca="1" si="4"/>
        <v>2.7000000000000011</v>
      </c>
    </row>
    <row r="116" spans="1:3" x14ac:dyDescent="0.25">
      <c r="A116">
        <v>99</v>
      </c>
      <c r="B116">
        <f t="shared" ca="1" si="3"/>
        <v>28</v>
      </c>
      <c r="C116">
        <f t="shared" ca="1" si="4"/>
        <v>1.7000000000000011</v>
      </c>
    </row>
    <row r="117" spans="1:3" x14ac:dyDescent="0.25">
      <c r="A117">
        <v>100</v>
      </c>
      <c r="B117">
        <f t="shared" ca="1" si="3"/>
        <v>30</v>
      </c>
      <c r="C117">
        <f t="shared" ca="1" si="4"/>
        <v>-0.29999999999999893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J24"/>
  <sheetViews>
    <sheetView workbookViewId="0">
      <selection activeCell="K11" sqref="K11"/>
    </sheetView>
  </sheetViews>
  <sheetFormatPr defaultColWidth="11.33203125" defaultRowHeight="13.8" x14ac:dyDescent="0.25"/>
  <cols>
    <col min="1" max="16384" width="11.33203125" style="5"/>
  </cols>
  <sheetData>
    <row r="1" spans="1:10" x14ac:dyDescent="0.25">
      <c r="A1" s="4" t="s">
        <v>51</v>
      </c>
    </row>
    <row r="3" spans="1:10" s="7" customFormat="1" ht="41.4" x14ac:dyDescent="0.25">
      <c r="A3" s="6" t="s">
        <v>13</v>
      </c>
      <c r="B3" s="6" t="s">
        <v>0</v>
      </c>
      <c r="C3" s="6" t="s">
        <v>19</v>
      </c>
      <c r="F3" s="6" t="s">
        <v>14</v>
      </c>
      <c r="G3" s="6" t="s">
        <v>0</v>
      </c>
      <c r="H3" s="6" t="s">
        <v>19</v>
      </c>
    </row>
    <row r="4" spans="1:10" x14ac:dyDescent="0.25">
      <c r="A4" s="8">
        <v>1</v>
      </c>
      <c r="B4" s="9">
        <v>0.2</v>
      </c>
      <c r="C4" s="9">
        <f>0</f>
        <v>0</v>
      </c>
      <c r="F4" s="8">
        <v>2</v>
      </c>
      <c r="G4" s="9">
        <v>0.25</v>
      </c>
      <c r="H4" s="9">
        <f>0</f>
        <v>0</v>
      </c>
    </row>
    <row r="5" spans="1:10" x14ac:dyDescent="0.25">
      <c r="A5" s="8">
        <v>2</v>
      </c>
      <c r="B5" s="9">
        <v>0.2</v>
      </c>
      <c r="C5" s="9">
        <f>C4+B4</f>
        <v>0.2</v>
      </c>
      <c r="F5" s="8">
        <v>5</v>
      </c>
      <c r="G5" s="9">
        <v>0.5</v>
      </c>
      <c r="H5" s="9">
        <f>H4+G4</f>
        <v>0.25</v>
      </c>
    </row>
    <row r="6" spans="1:10" x14ac:dyDescent="0.25">
      <c r="A6" s="8">
        <v>3</v>
      </c>
      <c r="B6" s="9">
        <v>0.2</v>
      </c>
      <c r="C6" s="9">
        <f>C5+B5</f>
        <v>0.4</v>
      </c>
      <c r="F6" s="8">
        <v>10</v>
      </c>
      <c r="G6" s="9">
        <v>0.25</v>
      </c>
      <c r="H6" s="9">
        <f>H5+G5</f>
        <v>0.75</v>
      </c>
    </row>
    <row r="7" spans="1:10" x14ac:dyDescent="0.25">
      <c r="A7" s="8">
        <v>4</v>
      </c>
      <c r="B7" s="9">
        <v>0.2</v>
      </c>
      <c r="C7" s="9">
        <f>C6+B6</f>
        <v>0.60000000000000009</v>
      </c>
    </row>
    <row r="8" spans="1:10" x14ac:dyDescent="0.25">
      <c r="A8" s="8">
        <v>5</v>
      </c>
      <c r="B8" s="9">
        <v>0.2</v>
      </c>
      <c r="C8" s="9">
        <f>C7+B7</f>
        <v>0.8</v>
      </c>
    </row>
    <row r="9" spans="1:10" x14ac:dyDescent="0.25">
      <c r="A9" s="10"/>
      <c r="B9" s="10"/>
    </row>
    <row r="10" spans="1:10" x14ac:dyDescent="0.25">
      <c r="A10" s="57" t="s">
        <v>89</v>
      </c>
      <c r="B10" s="10"/>
    </row>
    <row r="11" spans="1:10" x14ac:dyDescent="0.25">
      <c r="A11" s="11" t="s">
        <v>15</v>
      </c>
      <c r="B11" s="12" t="s">
        <v>17</v>
      </c>
    </row>
    <row r="12" spans="1:10" x14ac:dyDescent="0.25">
      <c r="A12" s="11" t="s">
        <v>16</v>
      </c>
      <c r="B12" s="12" t="s">
        <v>18</v>
      </c>
    </row>
    <row r="14" spans="1:10" s="7" customFormat="1" ht="27.6" x14ac:dyDescent="0.25">
      <c r="A14" s="6" t="s">
        <v>3</v>
      </c>
      <c r="B14" s="6" t="s">
        <v>4</v>
      </c>
      <c r="C14" s="6" t="s">
        <v>6</v>
      </c>
      <c r="D14" s="6" t="s">
        <v>5</v>
      </c>
      <c r="E14" s="6" t="s">
        <v>7</v>
      </c>
      <c r="F14" s="6" t="s">
        <v>8</v>
      </c>
      <c r="G14" s="6" t="s">
        <v>9</v>
      </c>
      <c r="H14" s="6" t="s">
        <v>10</v>
      </c>
      <c r="I14" s="6" t="s">
        <v>11</v>
      </c>
      <c r="J14" s="6" t="s">
        <v>12</v>
      </c>
    </row>
    <row r="15" spans="1:10" ht="20.25" customHeight="1" x14ac:dyDescent="0.25">
      <c r="A15" s="8">
        <v>1</v>
      </c>
      <c r="B15" s="9">
        <v>0.89552084104591589</v>
      </c>
      <c r="C15" s="8">
        <v>5</v>
      </c>
      <c r="D15" s="8">
        <f>C15</f>
        <v>5</v>
      </c>
      <c r="E15" s="8">
        <f>D15</f>
        <v>5</v>
      </c>
      <c r="F15" s="9">
        <v>0.12150691193999563</v>
      </c>
      <c r="G15" s="8">
        <v>2</v>
      </c>
      <c r="H15" s="8">
        <f>E15+G15</f>
        <v>7</v>
      </c>
      <c r="I15" s="8">
        <f>E15-D15</f>
        <v>0</v>
      </c>
      <c r="J15" s="8">
        <v>0</v>
      </c>
    </row>
    <row r="16" spans="1:10" ht="20.25" customHeight="1" x14ac:dyDescent="0.25">
      <c r="A16" s="8">
        <v>2</v>
      </c>
      <c r="B16" s="9">
        <v>0.530709162697103</v>
      </c>
      <c r="C16" s="8">
        <v>3</v>
      </c>
      <c r="D16" s="8">
        <f>D15+C16</f>
        <v>8</v>
      </c>
      <c r="E16" s="8">
        <f>MAX(D16,H15)</f>
        <v>8</v>
      </c>
      <c r="F16" s="9">
        <v>0.30601384824854794</v>
      </c>
      <c r="G16" s="8">
        <v>5</v>
      </c>
      <c r="H16" s="8">
        <f t="shared" ref="H16:H24" si="0">E16+G16</f>
        <v>13</v>
      </c>
      <c r="I16" s="8">
        <f t="shared" ref="I16:I24" si="1">E16-D16</f>
        <v>0</v>
      </c>
      <c r="J16" s="8">
        <v>1</v>
      </c>
    </row>
    <row r="17" spans="1:10" ht="20.25" customHeight="1" x14ac:dyDescent="0.25">
      <c r="A17" s="8">
        <v>3</v>
      </c>
      <c r="B17" s="9">
        <v>0.57333064898929131</v>
      </c>
      <c r="C17" s="8">
        <v>3</v>
      </c>
      <c r="D17" s="8">
        <f t="shared" ref="D17:D24" si="2">D16+C17</f>
        <v>11</v>
      </c>
      <c r="E17" s="8">
        <f t="shared" ref="E17:E24" si="3">MAX(D17,H16)</f>
        <v>13</v>
      </c>
      <c r="F17" s="9">
        <v>0.70857913201951117</v>
      </c>
      <c r="G17" s="8">
        <v>5</v>
      </c>
      <c r="H17" s="8">
        <f t="shared" si="0"/>
        <v>18</v>
      </c>
      <c r="I17" s="8">
        <f t="shared" si="1"/>
        <v>2</v>
      </c>
      <c r="J17" s="8">
        <v>1</v>
      </c>
    </row>
    <row r="18" spans="1:10" ht="20.25" customHeight="1" x14ac:dyDescent="0.25">
      <c r="A18" s="8">
        <v>4</v>
      </c>
      <c r="B18" s="9">
        <v>0.89163072382999253</v>
      </c>
      <c r="C18" s="8">
        <v>5</v>
      </c>
      <c r="D18" s="8">
        <f t="shared" si="2"/>
        <v>16</v>
      </c>
      <c r="E18" s="8">
        <f t="shared" si="3"/>
        <v>18</v>
      </c>
      <c r="F18" s="9">
        <v>0.16698256361920905</v>
      </c>
      <c r="G18" s="8">
        <v>2</v>
      </c>
      <c r="H18" s="8">
        <f t="shared" si="0"/>
        <v>20</v>
      </c>
      <c r="I18" s="8">
        <f t="shared" si="1"/>
        <v>2</v>
      </c>
      <c r="J18" s="8">
        <v>0</v>
      </c>
    </row>
    <row r="19" spans="1:10" ht="20.25" customHeight="1" x14ac:dyDescent="0.25">
      <c r="A19" s="8">
        <v>5</v>
      </c>
      <c r="B19" s="9">
        <v>0.91666573435666709</v>
      </c>
      <c r="C19" s="8">
        <v>5</v>
      </c>
      <c r="D19" s="8">
        <f t="shared" si="2"/>
        <v>21</v>
      </c>
      <c r="E19" s="8">
        <f t="shared" si="3"/>
        <v>21</v>
      </c>
      <c r="F19" s="9">
        <v>0.14708430425203756</v>
      </c>
      <c r="G19" s="8">
        <v>2</v>
      </c>
      <c r="H19" s="8">
        <f t="shared" si="0"/>
        <v>23</v>
      </c>
      <c r="I19" s="8">
        <f t="shared" si="1"/>
        <v>0</v>
      </c>
      <c r="J19" s="8">
        <v>0</v>
      </c>
    </row>
    <row r="20" spans="1:10" ht="20.25" customHeight="1" x14ac:dyDescent="0.25">
      <c r="A20" s="8">
        <v>6</v>
      </c>
      <c r="B20" s="9">
        <v>0.78550411682753563</v>
      </c>
      <c r="C20" s="8">
        <v>4</v>
      </c>
      <c r="D20" s="8">
        <f t="shared" si="2"/>
        <v>25</v>
      </c>
      <c r="E20" s="8">
        <f t="shared" si="3"/>
        <v>25</v>
      </c>
      <c r="F20" s="9">
        <v>0.7262790592608428</v>
      </c>
      <c r="G20" s="8">
        <v>5</v>
      </c>
      <c r="H20" s="8">
        <f t="shared" si="0"/>
        <v>30</v>
      </c>
      <c r="I20" s="8">
        <f t="shared" si="1"/>
        <v>0</v>
      </c>
      <c r="J20" s="8">
        <v>1</v>
      </c>
    </row>
    <row r="21" spans="1:10" ht="20.25" customHeight="1" x14ac:dyDescent="0.25">
      <c r="A21" s="8">
        <v>7</v>
      </c>
      <c r="B21" s="9">
        <v>0.64725836322737873</v>
      </c>
      <c r="C21" s="8">
        <v>4</v>
      </c>
      <c r="D21" s="8">
        <f t="shared" si="2"/>
        <v>29</v>
      </c>
      <c r="E21" s="8">
        <f t="shared" si="3"/>
        <v>30</v>
      </c>
      <c r="F21" s="9">
        <v>0.99</v>
      </c>
      <c r="G21" s="8">
        <v>10</v>
      </c>
      <c r="H21" s="8">
        <f t="shared" si="0"/>
        <v>40</v>
      </c>
      <c r="I21" s="8">
        <f t="shared" si="1"/>
        <v>1</v>
      </c>
      <c r="J21" s="8">
        <v>2</v>
      </c>
    </row>
    <row r="22" spans="1:10" ht="20.25" customHeight="1" x14ac:dyDescent="0.25">
      <c r="A22" s="8">
        <v>8</v>
      </c>
      <c r="B22" s="9">
        <v>0.93571225608650899</v>
      </c>
      <c r="C22" s="8">
        <v>5</v>
      </c>
      <c r="D22" s="8">
        <f t="shared" si="2"/>
        <v>34</v>
      </c>
      <c r="E22" s="8">
        <f t="shared" si="3"/>
        <v>40</v>
      </c>
      <c r="F22" s="9">
        <v>0.2550622390930366</v>
      </c>
      <c r="G22" s="8">
        <v>5</v>
      </c>
      <c r="H22" s="8">
        <f t="shared" si="0"/>
        <v>45</v>
      </c>
      <c r="I22" s="8">
        <f t="shared" si="1"/>
        <v>6</v>
      </c>
      <c r="J22" s="8">
        <v>2</v>
      </c>
    </row>
    <row r="23" spans="1:10" ht="20.25" customHeight="1" x14ac:dyDescent="0.25">
      <c r="A23" s="8">
        <v>9</v>
      </c>
      <c r="B23" s="9">
        <v>0.84139402560475762</v>
      </c>
      <c r="C23" s="8">
        <v>5</v>
      </c>
      <c r="D23" s="8">
        <f t="shared" si="2"/>
        <v>39</v>
      </c>
      <c r="E23" s="8">
        <f t="shared" si="3"/>
        <v>45</v>
      </c>
      <c r="F23" s="9">
        <v>0.17757713271247177</v>
      </c>
      <c r="G23" s="8">
        <v>2</v>
      </c>
      <c r="H23" s="8">
        <f t="shared" si="0"/>
        <v>47</v>
      </c>
      <c r="I23" s="8">
        <f t="shared" si="1"/>
        <v>6</v>
      </c>
      <c r="J23" s="8">
        <v>1</v>
      </c>
    </row>
    <row r="24" spans="1:10" ht="20.25" customHeight="1" x14ac:dyDescent="0.25">
      <c r="A24" s="8">
        <v>10</v>
      </c>
      <c r="B24" s="9">
        <v>0.54205246432461252</v>
      </c>
      <c r="C24" s="8">
        <v>3</v>
      </c>
      <c r="D24" s="8">
        <f t="shared" si="2"/>
        <v>42</v>
      </c>
      <c r="E24" s="8">
        <f t="shared" si="3"/>
        <v>47</v>
      </c>
      <c r="F24" s="9">
        <v>0.19634736918529905</v>
      </c>
      <c r="G24" s="8">
        <v>2</v>
      </c>
      <c r="H24" s="8">
        <f t="shared" si="0"/>
        <v>49</v>
      </c>
      <c r="I24" s="8">
        <f t="shared" si="1"/>
        <v>5</v>
      </c>
      <c r="J24" s="8">
        <v>0</v>
      </c>
    </row>
  </sheetData>
  <phoneticPr fontId="0" type="noConversion"/>
  <pageMargins left="0.9" right="0.35" top="1" bottom="1" header="0.5" footer="0.5"/>
  <pageSetup paperSize="9" orientation="landscape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L22"/>
  <sheetViews>
    <sheetView topLeftCell="C1" workbookViewId="0">
      <selection activeCell="H12" sqref="H12"/>
    </sheetView>
  </sheetViews>
  <sheetFormatPr defaultColWidth="10.33203125" defaultRowHeight="13.8" x14ac:dyDescent="0.25"/>
  <sheetData>
    <row r="1" spans="3:12" x14ac:dyDescent="0.25">
      <c r="C1" s="4" t="s">
        <v>52</v>
      </c>
    </row>
    <row r="2" spans="3:12" x14ac:dyDescent="0.25">
      <c r="C2" s="4" t="s">
        <v>20</v>
      </c>
    </row>
    <row r="3" spans="3:12" x14ac:dyDescent="0.25">
      <c r="C3" s="4"/>
    </row>
    <row r="4" spans="3:12" x14ac:dyDescent="0.25">
      <c r="D4" s="1" t="s">
        <v>1</v>
      </c>
      <c r="E4" s="1"/>
      <c r="H4" s="1" t="s">
        <v>2</v>
      </c>
      <c r="I4" s="1"/>
    </row>
    <row r="5" spans="3:12" x14ac:dyDescent="0.25">
      <c r="D5" s="1">
        <v>0</v>
      </c>
      <c r="E5" s="1">
        <v>1</v>
      </c>
      <c r="H5" s="1">
        <v>0</v>
      </c>
      <c r="I5" s="1">
        <v>2</v>
      </c>
    </row>
    <row r="6" spans="3:12" x14ac:dyDescent="0.25">
      <c r="D6" s="1">
        <v>0.2</v>
      </c>
      <c r="E6" s="1">
        <v>2</v>
      </c>
      <c r="H6" s="1">
        <v>0.25</v>
      </c>
      <c r="I6" s="1">
        <v>5</v>
      </c>
    </row>
    <row r="7" spans="3:12" x14ac:dyDescent="0.25">
      <c r="D7" s="1">
        <v>0.4</v>
      </c>
      <c r="E7" s="1">
        <v>3</v>
      </c>
      <c r="H7" s="1">
        <v>0.75</v>
      </c>
      <c r="I7" s="1">
        <v>10</v>
      </c>
    </row>
    <row r="8" spans="3:12" x14ac:dyDescent="0.25">
      <c r="D8" s="1">
        <v>0.6</v>
      </c>
      <c r="E8" s="1">
        <v>4</v>
      </c>
    </row>
    <row r="9" spans="3:12" x14ac:dyDescent="0.25">
      <c r="D9" s="1">
        <v>0.8</v>
      </c>
      <c r="E9" s="1">
        <v>5</v>
      </c>
    </row>
    <row r="11" spans="3:12" s="2" customFormat="1" ht="27.6" x14ac:dyDescent="0.25">
      <c r="C11" s="13" t="s">
        <v>3</v>
      </c>
      <c r="D11" s="13" t="s">
        <v>4</v>
      </c>
      <c r="E11" s="13" t="s">
        <v>6</v>
      </c>
      <c r="F11" s="13" t="s">
        <v>5</v>
      </c>
      <c r="G11" s="13" t="s">
        <v>7</v>
      </c>
      <c r="H11" s="13" t="s">
        <v>8</v>
      </c>
      <c r="I11" s="13" t="s">
        <v>9</v>
      </c>
      <c r="J11" s="13" t="s">
        <v>10</v>
      </c>
      <c r="K11" s="13" t="s">
        <v>11</v>
      </c>
      <c r="L11" s="13" t="s">
        <v>12</v>
      </c>
    </row>
    <row r="12" spans="3:12" x14ac:dyDescent="0.25">
      <c r="C12" s="1">
        <v>1</v>
      </c>
      <c r="D12" s="14">
        <f ca="1">RAND()</f>
        <v>0.80225626465958599</v>
      </c>
      <c r="E12" s="1">
        <f ca="1">VLOOKUP(D12,$D$5:$E$9,2)</f>
        <v>5</v>
      </c>
      <c r="F12" s="1">
        <f ca="1">E12</f>
        <v>5</v>
      </c>
      <c r="G12" s="1">
        <f ca="1">F12</f>
        <v>5</v>
      </c>
      <c r="H12" s="14">
        <f ca="1">RAND()</f>
        <v>0.2874245264070221</v>
      </c>
      <c r="I12" s="1">
        <f ca="1">VLOOKUP(H12,$H$5:$I$7,2)</f>
        <v>5</v>
      </c>
      <c r="J12" s="1">
        <f ca="1">G12+I12</f>
        <v>10</v>
      </c>
      <c r="K12" s="1">
        <f ca="1">G12-F12</f>
        <v>0</v>
      </c>
      <c r="L12" s="1">
        <f ca="1">COUNTIF(F12:$F$21,"&lt;"&amp;J12)-1</f>
        <v>1</v>
      </c>
    </row>
    <row r="13" spans="3:12" x14ac:dyDescent="0.25">
      <c r="C13" s="1">
        <f>C12+1</f>
        <v>2</v>
      </c>
      <c r="D13" s="14">
        <f t="shared" ref="D13:D21" ca="1" si="0">RAND()</f>
        <v>0.55795603651966041</v>
      </c>
      <c r="E13" s="1">
        <f t="shared" ref="E13:E21" ca="1" si="1">VLOOKUP(D13,$D$5:$E$9,2)</f>
        <v>3</v>
      </c>
      <c r="F13" s="1">
        <f ca="1">E13+F12</f>
        <v>8</v>
      </c>
      <c r="G13" s="1">
        <f ca="1">MAX(J12,F13)</f>
        <v>10</v>
      </c>
      <c r="H13" s="14">
        <f t="shared" ref="H13:H21" ca="1" si="2">RAND()</f>
        <v>0.30777011971443791</v>
      </c>
      <c r="I13" s="1">
        <f t="shared" ref="I13:I21" ca="1" si="3">VLOOKUP(H13,$H$5:$I$7,2)</f>
        <v>5</v>
      </c>
      <c r="J13" s="1">
        <f t="shared" ref="J13:J20" ca="1" si="4">G13+I13</f>
        <v>15</v>
      </c>
      <c r="K13" s="1">
        <f t="shared" ref="K13:K20" ca="1" si="5">G13-F13</f>
        <v>2</v>
      </c>
      <c r="L13" s="1">
        <f ca="1">COUNTIF(F13:$F$21,"&lt;"&amp;J13)-1</f>
        <v>1</v>
      </c>
    </row>
    <row r="14" spans="3:12" x14ac:dyDescent="0.25">
      <c r="C14" s="1">
        <f t="shared" ref="C14:C20" si="6">C13+1</f>
        <v>3</v>
      </c>
      <c r="D14" s="14">
        <f t="shared" ca="1" si="0"/>
        <v>0.6043936074033408</v>
      </c>
      <c r="E14" s="1">
        <f t="shared" ca="1" si="1"/>
        <v>4</v>
      </c>
      <c r="F14" s="1">
        <f t="shared" ref="F14:F20" ca="1" si="7">E14+F13</f>
        <v>12</v>
      </c>
      <c r="G14" s="1">
        <f t="shared" ref="G14:G20" ca="1" si="8">MAX(J13,F14)</f>
        <v>15</v>
      </c>
      <c r="H14" s="14">
        <f t="shared" ca="1" si="2"/>
        <v>0.26070742963504534</v>
      </c>
      <c r="I14" s="1">
        <f t="shared" ca="1" si="3"/>
        <v>5</v>
      </c>
      <c r="J14" s="1">
        <f t="shared" ca="1" si="4"/>
        <v>20</v>
      </c>
      <c r="K14" s="1">
        <f t="shared" ca="1" si="5"/>
        <v>3</v>
      </c>
      <c r="L14" s="1">
        <f ca="1">COUNTIF(F14:$F$21,"&lt;"&amp;J14)-1</f>
        <v>2</v>
      </c>
    </row>
    <row r="15" spans="3:12" x14ac:dyDescent="0.25">
      <c r="C15" s="1">
        <f t="shared" si="6"/>
        <v>4</v>
      </c>
      <c r="D15" s="14">
        <f t="shared" ca="1" si="0"/>
        <v>0.52575274797238836</v>
      </c>
      <c r="E15" s="1">
        <f t="shared" ca="1" si="1"/>
        <v>3</v>
      </c>
      <c r="F15" s="1">
        <f t="shared" ca="1" si="7"/>
        <v>15</v>
      </c>
      <c r="G15" s="1">
        <f t="shared" ca="1" si="8"/>
        <v>20</v>
      </c>
      <c r="H15" s="14">
        <f t="shared" ca="1" si="2"/>
        <v>0.62591750451847228</v>
      </c>
      <c r="I15" s="1">
        <f t="shared" ca="1" si="3"/>
        <v>5</v>
      </c>
      <c r="J15" s="1">
        <f t="shared" ca="1" si="4"/>
        <v>25</v>
      </c>
      <c r="K15" s="1">
        <f t="shared" ca="1" si="5"/>
        <v>5</v>
      </c>
      <c r="L15" s="1">
        <f ca="1">COUNTIF(F15:$F$21,"&lt;"&amp;J15)-1</f>
        <v>2</v>
      </c>
    </row>
    <row r="16" spans="3:12" x14ac:dyDescent="0.25">
      <c r="C16" s="1">
        <f t="shared" si="6"/>
        <v>5</v>
      </c>
      <c r="D16" s="14">
        <f t="shared" ca="1" si="0"/>
        <v>0.61281242768921318</v>
      </c>
      <c r="E16" s="1">
        <f t="shared" ca="1" si="1"/>
        <v>4</v>
      </c>
      <c r="F16" s="1">
        <f t="shared" ca="1" si="7"/>
        <v>19</v>
      </c>
      <c r="G16" s="1">
        <f t="shared" ca="1" si="8"/>
        <v>25</v>
      </c>
      <c r="H16" s="14">
        <f t="shared" ca="1" si="2"/>
        <v>0.72498001813430668</v>
      </c>
      <c r="I16" s="1">
        <f t="shared" ca="1" si="3"/>
        <v>5</v>
      </c>
      <c r="J16" s="1">
        <f t="shared" ca="1" si="4"/>
        <v>30</v>
      </c>
      <c r="K16" s="1">
        <f t="shared" ca="1" si="5"/>
        <v>6</v>
      </c>
      <c r="L16" s="1">
        <f ca="1">COUNTIF(F16:$F$21,"&lt;"&amp;J16)-1</f>
        <v>2</v>
      </c>
    </row>
    <row r="17" spans="3:12" x14ac:dyDescent="0.25">
      <c r="C17" s="1">
        <f t="shared" si="6"/>
        <v>6</v>
      </c>
      <c r="D17" s="14">
        <f t="shared" ca="1" si="0"/>
        <v>0.45904275907462433</v>
      </c>
      <c r="E17" s="1">
        <f t="shared" ca="1" si="1"/>
        <v>3</v>
      </c>
      <c r="F17" s="1">
        <f t="shared" ca="1" si="7"/>
        <v>22</v>
      </c>
      <c r="G17" s="1">
        <f t="shared" ca="1" si="8"/>
        <v>30</v>
      </c>
      <c r="H17" s="14">
        <f t="shared" ca="1" si="2"/>
        <v>0.93216392992968089</v>
      </c>
      <c r="I17" s="1">
        <f t="shared" ca="1" si="3"/>
        <v>10</v>
      </c>
      <c r="J17" s="1">
        <f t="shared" ca="1" si="4"/>
        <v>40</v>
      </c>
      <c r="K17" s="1">
        <f t="shared" ca="1" si="5"/>
        <v>8</v>
      </c>
      <c r="L17" s="1">
        <f ca="1">COUNTIF(F17:$F$21,"&lt;"&amp;J17)-1</f>
        <v>4</v>
      </c>
    </row>
    <row r="18" spans="3:12" x14ac:dyDescent="0.25">
      <c r="C18" s="1">
        <f t="shared" si="6"/>
        <v>7</v>
      </c>
      <c r="D18" s="14">
        <f t="shared" ca="1" si="0"/>
        <v>0.73820757057316178</v>
      </c>
      <c r="E18" s="1">
        <f t="shared" ca="1" si="1"/>
        <v>4</v>
      </c>
      <c r="F18" s="1">
        <f t="shared" ca="1" si="7"/>
        <v>26</v>
      </c>
      <c r="G18" s="1">
        <f t="shared" ca="1" si="8"/>
        <v>40</v>
      </c>
      <c r="H18" s="14">
        <f t="shared" ca="1" si="2"/>
        <v>0.14858578569668379</v>
      </c>
      <c r="I18" s="1">
        <f t="shared" ca="1" si="3"/>
        <v>2</v>
      </c>
      <c r="J18" s="1">
        <f t="shared" ca="1" si="4"/>
        <v>42</v>
      </c>
      <c r="K18" s="1">
        <f t="shared" ca="1" si="5"/>
        <v>14</v>
      </c>
      <c r="L18" s="1">
        <f ca="1">COUNTIF(F18:$F$21,"&lt;"&amp;J18)-1</f>
        <v>3</v>
      </c>
    </row>
    <row r="19" spans="3:12" x14ac:dyDescent="0.25">
      <c r="C19" s="1">
        <f t="shared" si="6"/>
        <v>8</v>
      </c>
      <c r="D19" s="14">
        <f t="shared" ca="1" si="0"/>
        <v>0.93854196906383225</v>
      </c>
      <c r="E19" s="1">
        <f t="shared" ca="1" si="1"/>
        <v>5</v>
      </c>
      <c r="F19" s="1">
        <f t="shared" ca="1" si="7"/>
        <v>31</v>
      </c>
      <c r="G19" s="1">
        <f t="shared" ca="1" si="8"/>
        <v>42</v>
      </c>
      <c r="H19" s="14">
        <f t="shared" ca="1" si="2"/>
        <v>0.41217050906475472</v>
      </c>
      <c r="I19" s="1">
        <f t="shared" ca="1" si="3"/>
        <v>5</v>
      </c>
      <c r="J19" s="1">
        <f t="shared" ca="1" si="4"/>
        <v>47</v>
      </c>
      <c r="K19" s="1">
        <f t="shared" ca="1" si="5"/>
        <v>11</v>
      </c>
      <c r="L19" s="1">
        <f ca="1">COUNTIF(F19:$F$21,"&lt;"&amp;J19)-1</f>
        <v>2</v>
      </c>
    </row>
    <row r="20" spans="3:12" x14ac:dyDescent="0.25">
      <c r="C20" s="1">
        <f t="shared" si="6"/>
        <v>9</v>
      </c>
      <c r="D20" s="14">
        <f t="shared" ca="1" si="0"/>
        <v>0.78144707340109532</v>
      </c>
      <c r="E20" s="1">
        <f t="shared" ca="1" si="1"/>
        <v>4</v>
      </c>
      <c r="F20" s="1">
        <f t="shared" ca="1" si="7"/>
        <v>35</v>
      </c>
      <c r="G20" s="1">
        <f t="shared" ca="1" si="8"/>
        <v>47</v>
      </c>
      <c r="H20" s="14">
        <f t="shared" ca="1" si="2"/>
        <v>0.36772011814937533</v>
      </c>
      <c r="I20" s="1">
        <f t="shared" ca="1" si="3"/>
        <v>5</v>
      </c>
      <c r="J20" s="1">
        <f t="shared" ca="1" si="4"/>
        <v>52</v>
      </c>
      <c r="K20" s="1">
        <f t="shared" ca="1" si="5"/>
        <v>12</v>
      </c>
      <c r="L20" s="1">
        <f ca="1">COUNTIF(F20:$F$21,"&lt;"&amp;J20)-1</f>
        <v>1</v>
      </c>
    </row>
    <row r="21" spans="3:12" x14ac:dyDescent="0.25">
      <c r="C21" s="1">
        <f>C20+1</f>
        <v>10</v>
      </c>
      <c r="D21" s="14">
        <f t="shared" ca="1" si="0"/>
        <v>0.59795031730979187</v>
      </c>
      <c r="E21" s="1">
        <f t="shared" ca="1" si="1"/>
        <v>3</v>
      </c>
      <c r="F21" s="1">
        <f ca="1">E21+F20</f>
        <v>38</v>
      </c>
      <c r="G21" s="1">
        <f ca="1">MAX(J20,F21)</f>
        <v>52</v>
      </c>
      <c r="H21" s="14">
        <f t="shared" ca="1" si="2"/>
        <v>0.85642163020677231</v>
      </c>
      <c r="I21" s="1">
        <f t="shared" ca="1" si="3"/>
        <v>10</v>
      </c>
      <c r="J21" s="1">
        <f ca="1">G21+I21</f>
        <v>62</v>
      </c>
      <c r="K21" s="1">
        <f ca="1">G21-F21</f>
        <v>14</v>
      </c>
      <c r="L21" s="1">
        <f ca="1">COUNTIF(F21:$F$21,"&lt;"&amp;J21)-1</f>
        <v>0</v>
      </c>
    </row>
    <row r="22" spans="3:12" x14ac:dyDescent="0.25">
      <c r="D22" s="3"/>
      <c r="H22" s="3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9"/>
  <sheetViews>
    <sheetView workbookViewId="0">
      <selection activeCell="G1" sqref="G1"/>
    </sheetView>
  </sheetViews>
  <sheetFormatPr defaultColWidth="6.44140625" defaultRowHeight="13.8" x14ac:dyDescent="0.25"/>
  <cols>
    <col min="1" max="1" width="3.5546875" style="16" customWidth="1"/>
    <col min="2" max="16384" width="6.44140625" style="16"/>
  </cols>
  <sheetData>
    <row r="1" spans="1:12" x14ac:dyDescent="0.25">
      <c r="A1" s="15" t="s">
        <v>32</v>
      </c>
    </row>
    <row r="2" spans="1:12" s="17" customFormat="1" x14ac:dyDescent="0.25">
      <c r="G2" s="23" t="s">
        <v>37</v>
      </c>
    </row>
    <row r="3" spans="1:12" s="21" customFormat="1" x14ac:dyDescent="0.25">
      <c r="A3" s="18" t="s">
        <v>33</v>
      </c>
      <c r="B3" s="19">
        <v>0.5</v>
      </c>
      <c r="C3" s="19">
        <f>B3+0.5</f>
        <v>1</v>
      </c>
      <c r="D3" s="19">
        <v>2</v>
      </c>
      <c r="E3" s="19">
        <v>3</v>
      </c>
      <c r="F3" s="19">
        <v>4</v>
      </c>
      <c r="G3" s="19">
        <v>5</v>
      </c>
      <c r="H3" s="19">
        <v>6</v>
      </c>
      <c r="I3" s="19">
        <v>7</v>
      </c>
      <c r="J3" s="19">
        <v>8</v>
      </c>
      <c r="K3" s="19">
        <v>9</v>
      </c>
      <c r="L3" s="20">
        <v>10</v>
      </c>
    </row>
    <row r="4" spans="1:12" x14ac:dyDescent="0.25">
      <c r="A4" s="18">
        <v>0</v>
      </c>
      <c r="B4" s="22">
        <f t="shared" ref="B4:L20" si="0">POISSON($A4,B$3,FALSE)</f>
        <v>0.60653065971263342</v>
      </c>
      <c r="C4" s="22">
        <f t="shared" si="0"/>
        <v>0.36787944117144233</v>
      </c>
      <c r="D4" s="22">
        <f t="shared" si="0"/>
        <v>0.1353352832366127</v>
      </c>
      <c r="E4" s="22">
        <f t="shared" si="0"/>
        <v>4.9787068367863944E-2</v>
      </c>
      <c r="F4" s="22">
        <f t="shared" si="0"/>
        <v>1.8315638888734179E-2</v>
      </c>
      <c r="G4" s="22">
        <f t="shared" si="0"/>
        <v>6.737946999085467E-3</v>
      </c>
      <c r="H4" s="22">
        <f t="shared" si="0"/>
        <v>2.4787521766663585E-3</v>
      </c>
      <c r="I4" s="22">
        <f t="shared" si="0"/>
        <v>9.1188196555451624E-4</v>
      </c>
      <c r="J4" s="22">
        <f t="shared" si="0"/>
        <v>3.3546262790251185E-4</v>
      </c>
      <c r="K4" s="22">
        <f t="shared" si="0"/>
        <v>1.2340980408667956E-4</v>
      </c>
      <c r="L4" s="22">
        <f t="shared" si="0"/>
        <v>4.5399929762484854E-5</v>
      </c>
    </row>
    <row r="5" spans="1:12" x14ac:dyDescent="0.25">
      <c r="A5" s="18">
        <v>1</v>
      </c>
      <c r="B5" s="22">
        <f t="shared" si="0"/>
        <v>0.30326532985631671</v>
      </c>
      <c r="C5" s="22">
        <f t="shared" si="0"/>
        <v>0.36787944117144233</v>
      </c>
      <c r="D5" s="22">
        <f t="shared" si="0"/>
        <v>0.27067056647322535</v>
      </c>
      <c r="E5" s="22">
        <f t="shared" si="0"/>
        <v>0.14936120510359185</v>
      </c>
      <c r="F5" s="22">
        <f t="shared" si="0"/>
        <v>7.3262555554936715E-2</v>
      </c>
      <c r="G5" s="22">
        <f t="shared" si="0"/>
        <v>3.368973499542733E-2</v>
      </c>
      <c r="H5" s="22">
        <f t="shared" si="0"/>
        <v>1.4872513059998151E-2</v>
      </c>
      <c r="I5" s="22">
        <f t="shared" si="0"/>
        <v>6.3831737588816127E-3</v>
      </c>
      <c r="J5" s="22">
        <f t="shared" si="0"/>
        <v>2.683701023220094E-3</v>
      </c>
      <c r="K5" s="22">
        <f t="shared" si="0"/>
        <v>1.1106882367801162E-3</v>
      </c>
      <c r="L5" s="22">
        <f t="shared" si="0"/>
        <v>4.5399929762484861E-4</v>
      </c>
    </row>
    <row r="6" spans="1:12" x14ac:dyDescent="0.25">
      <c r="A6" s="20">
        <f>A5+1</f>
        <v>2</v>
      </c>
      <c r="B6" s="22">
        <f t="shared" si="0"/>
        <v>7.5816332464079178E-2</v>
      </c>
      <c r="C6" s="22">
        <f t="shared" si="0"/>
        <v>0.18393972058572114</v>
      </c>
      <c r="D6" s="22">
        <f t="shared" si="0"/>
        <v>0.27067056647322546</v>
      </c>
      <c r="E6" s="22">
        <f t="shared" si="0"/>
        <v>0.22404180765538775</v>
      </c>
      <c r="F6" s="22">
        <f t="shared" si="0"/>
        <v>0.14652511110987346</v>
      </c>
      <c r="G6" s="22">
        <f t="shared" si="0"/>
        <v>8.4224337488568335E-2</v>
      </c>
      <c r="H6" s="22">
        <f t="shared" si="0"/>
        <v>4.4617539179994462E-2</v>
      </c>
      <c r="I6" s="22">
        <f t="shared" si="0"/>
        <v>2.2341108156085653E-2</v>
      </c>
      <c r="J6" s="22">
        <f t="shared" si="0"/>
        <v>1.0734804092880379E-2</v>
      </c>
      <c r="K6" s="22">
        <f t="shared" si="0"/>
        <v>4.9980970655105258E-3</v>
      </c>
      <c r="L6" s="22">
        <f t="shared" si="0"/>
        <v>2.2699964881242444E-3</v>
      </c>
    </row>
    <row r="7" spans="1:12" x14ac:dyDescent="0.25">
      <c r="A7" s="20">
        <f t="shared" ref="A7:A23" si="1">A6+1</f>
        <v>3</v>
      </c>
      <c r="B7" s="22">
        <f t="shared" si="0"/>
        <v>1.2636055410679865E-2</v>
      </c>
      <c r="C7" s="22">
        <f t="shared" si="0"/>
        <v>6.1313240195240391E-2</v>
      </c>
      <c r="D7" s="22">
        <f t="shared" si="0"/>
        <v>0.18044704431548364</v>
      </c>
      <c r="E7" s="22">
        <f t="shared" si="0"/>
        <v>0.22404180765538778</v>
      </c>
      <c r="F7" s="22">
        <f t="shared" si="0"/>
        <v>0.19536681481316462</v>
      </c>
      <c r="G7" s="22">
        <f t="shared" si="0"/>
        <v>0.14037389581428059</v>
      </c>
      <c r="H7" s="22">
        <f t="shared" si="0"/>
        <v>8.9235078359988909E-2</v>
      </c>
      <c r="I7" s="22">
        <f t="shared" si="0"/>
        <v>5.2129252364199866E-2</v>
      </c>
      <c r="J7" s="22">
        <f t="shared" si="0"/>
        <v>2.8626144247681014E-2</v>
      </c>
      <c r="K7" s="22">
        <f t="shared" si="0"/>
        <v>1.4994291196531569E-2</v>
      </c>
      <c r="L7" s="22">
        <f t="shared" si="0"/>
        <v>7.5666549604141483E-3</v>
      </c>
    </row>
    <row r="8" spans="1:12" x14ac:dyDescent="0.25">
      <c r="A8" s="20">
        <f t="shared" si="1"/>
        <v>4</v>
      </c>
      <c r="B8" s="22">
        <f t="shared" si="0"/>
        <v>1.5795069263349827E-3</v>
      </c>
      <c r="C8" s="22">
        <f t="shared" si="0"/>
        <v>1.5328310048810094E-2</v>
      </c>
      <c r="D8" s="22">
        <f t="shared" si="0"/>
        <v>9.022352215774182E-2</v>
      </c>
      <c r="E8" s="22">
        <f t="shared" si="0"/>
        <v>0.16803135574154085</v>
      </c>
      <c r="F8" s="22">
        <f t="shared" si="0"/>
        <v>0.19536681481316462</v>
      </c>
      <c r="G8" s="22">
        <f t="shared" si="0"/>
        <v>0.17546736976785074</v>
      </c>
      <c r="H8" s="22">
        <f t="shared" si="0"/>
        <v>0.13385261753998337</v>
      </c>
      <c r="I8" s="22">
        <f t="shared" si="0"/>
        <v>9.1226191637349782E-2</v>
      </c>
      <c r="J8" s="22">
        <f t="shared" si="0"/>
        <v>5.7252288495362028E-2</v>
      </c>
      <c r="K8" s="22">
        <f t="shared" si="0"/>
        <v>3.3737155192196028E-2</v>
      </c>
      <c r="L8" s="22">
        <f t="shared" si="0"/>
        <v>1.8916637401035354E-2</v>
      </c>
    </row>
    <row r="9" spans="1:12" x14ac:dyDescent="0.25">
      <c r="A9" s="20">
        <f t="shared" si="1"/>
        <v>5</v>
      </c>
      <c r="B9" s="22">
        <f t="shared" si="0"/>
        <v>1.5795069263349832E-4</v>
      </c>
      <c r="C9" s="22">
        <f t="shared" si="0"/>
        <v>3.06566200976202E-3</v>
      </c>
      <c r="D9" s="22">
        <f t="shared" si="0"/>
        <v>3.6089408863096716E-2</v>
      </c>
      <c r="E9" s="22">
        <f t="shared" si="0"/>
        <v>0.10081881344492449</v>
      </c>
      <c r="F9" s="22">
        <f t="shared" si="0"/>
        <v>0.1562934518505317</v>
      </c>
      <c r="G9" s="22">
        <f t="shared" si="0"/>
        <v>0.17546736976785071</v>
      </c>
      <c r="H9" s="22">
        <f t="shared" si="0"/>
        <v>0.16062314104798003</v>
      </c>
      <c r="I9" s="22">
        <f t="shared" si="0"/>
        <v>0.12771666829228964</v>
      </c>
      <c r="J9" s="22">
        <f t="shared" si="0"/>
        <v>9.1603661592579252E-2</v>
      </c>
      <c r="K9" s="22">
        <f t="shared" si="0"/>
        <v>6.0726879345952833E-2</v>
      </c>
      <c r="L9" s="22">
        <f t="shared" si="0"/>
        <v>3.7833274802070715E-2</v>
      </c>
    </row>
    <row r="10" spans="1:12" x14ac:dyDescent="0.25">
      <c r="A10" s="20">
        <f t="shared" si="1"/>
        <v>6</v>
      </c>
      <c r="B10" s="22">
        <f t="shared" si="0"/>
        <v>1.3162557719458192E-5</v>
      </c>
      <c r="C10" s="22">
        <f t="shared" si="0"/>
        <v>5.1094366829366978E-4</v>
      </c>
      <c r="D10" s="22">
        <f t="shared" si="0"/>
        <v>1.2029802954365572E-2</v>
      </c>
      <c r="E10" s="22">
        <f t="shared" si="0"/>
        <v>5.0409406722462261E-2</v>
      </c>
      <c r="F10" s="22">
        <f t="shared" si="0"/>
        <v>0.10419563456702115</v>
      </c>
      <c r="G10" s="22">
        <f t="shared" si="0"/>
        <v>0.14622280813987559</v>
      </c>
      <c r="H10" s="22">
        <f t="shared" si="0"/>
        <v>0.16062314104798003</v>
      </c>
      <c r="I10" s="22">
        <f t="shared" si="0"/>
        <v>0.14900277967433789</v>
      </c>
      <c r="J10" s="22">
        <f t="shared" si="0"/>
        <v>0.12213821545677231</v>
      </c>
      <c r="K10" s="22">
        <f t="shared" si="0"/>
        <v>9.1090319018929236E-2</v>
      </c>
      <c r="L10" s="22">
        <f t="shared" si="0"/>
        <v>6.3055458003451192E-2</v>
      </c>
    </row>
    <row r="11" spans="1:12" x14ac:dyDescent="0.25">
      <c r="A11" s="20">
        <f t="shared" si="1"/>
        <v>7</v>
      </c>
      <c r="B11" s="22">
        <f t="shared" si="0"/>
        <v>9.4018269424701516E-7</v>
      </c>
      <c r="C11" s="22">
        <f t="shared" si="0"/>
        <v>7.2991952613381521E-5</v>
      </c>
      <c r="D11" s="22">
        <f t="shared" si="0"/>
        <v>3.4370865583901629E-3</v>
      </c>
      <c r="E11" s="22">
        <f t="shared" si="0"/>
        <v>2.1604031452483807E-2</v>
      </c>
      <c r="F11" s="22">
        <f t="shared" si="0"/>
        <v>5.9540362609726373E-2</v>
      </c>
      <c r="G11" s="22">
        <f t="shared" si="0"/>
        <v>0.104444862957054</v>
      </c>
      <c r="H11" s="22">
        <f t="shared" si="0"/>
        <v>0.13767697804112577</v>
      </c>
      <c r="I11" s="22">
        <f t="shared" si="0"/>
        <v>0.14900277967433789</v>
      </c>
      <c r="J11" s="22">
        <f t="shared" si="0"/>
        <v>0.13958653195059695</v>
      </c>
      <c r="K11" s="22">
        <f t="shared" si="0"/>
        <v>0.11711612445290902</v>
      </c>
      <c r="L11" s="22">
        <f t="shared" si="0"/>
        <v>9.0079225719215977E-2</v>
      </c>
    </row>
    <row r="12" spans="1:12" x14ac:dyDescent="0.25">
      <c r="A12" s="20">
        <f t="shared" si="1"/>
        <v>8</v>
      </c>
      <c r="B12" s="22">
        <f t="shared" si="0"/>
        <v>5.8761418390438223E-8</v>
      </c>
      <c r="C12" s="22">
        <f t="shared" si="0"/>
        <v>9.1239940766726546E-6</v>
      </c>
      <c r="D12" s="22">
        <f t="shared" si="0"/>
        <v>8.5927163959754148E-4</v>
      </c>
      <c r="E12" s="22">
        <f t="shared" si="0"/>
        <v>8.1015117946814375E-3</v>
      </c>
      <c r="F12" s="22">
        <f t="shared" si="0"/>
        <v>2.9770181304863183E-2</v>
      </c>
      <c r="G12" s="22">
        <f t="shared" si="0"/>
        <v>6.5278039348158706E-2</v>
      </c>
      <c r="H12" s="22">
        <f t="shared" si="0"/>
        <v>0.10325773353084432</v>
      </c>
      <c r="I12" s="22">
        <f t="shared" si="0"/>
        <v>0.13037743221504566</v>
      </c>
      <c r="J12" s="22">
        <f t="shared" si="0"/>
        <v>0.13958653195059695</v>
      </c>
      <c r="K12" s="22">
        <f t="shared" si="0"/>
        <v>0.1317556400095227</v>
      </c>
      <c r="L12" s="22">
        <f t="shared" si="0"/>
        <v>0.11259903214901996</v>
      </c>
    </row>
    <row r="13" spans="1:12" x14ac:dyDescent="0.25">
      <c r="A13" s="20">
        <f t="shared" si="1"/>
        <v>9</v>
      </c>
      <c r="B13" s="22">
        <f t="shared" si="0"/>
        <v>3.2645232439132378E-9</v>
      </c>
      <c r="C13" s="22">
        <f t="shared" si="0"/>
        <v>1.0137771196302961E-6</v>
      </c>
      <c r="D13" s="22">
        <f t="shared" si="0"/>
        <v>1.9094925324389769E-4</v>
      </c>
      <c r="E13" s="22">
        <f t="shared" si="0"/>
        <v>2.7005039315604771E-3</v>
      </c>
      <c r="F13" s="22">
        <f t="shared" si="0"/>
        <v>1.3231191691050297E-2</v>
      </c>
      <c r="G13" s="22">
        <f t="shared" si="0"/>
        <v>3.6265577415643749E-2</v>
      </c>
      <c r="H13" s="22">
        <f t="shared" si="0"/>
        <v>6.883848902056286E-2</v>
      </c>
      <c r="I13" s="22">
        <f t="shared" si="0"/>
        <v>0.10140466950059109</v>
      </c>
      <c r="J13" s="22">
        <f t="shared" si="0"/>
        <v>0.12407691728941951</v>
      </c>
      <c r="K13" s="22">
        <f t="shared" si="0"/>
        <v>0.1317556400095227</v>
      </c>
      <c r="L13" s="22">
        <f t="shared" si="0"/>
        <v>0.1251100357211333</v>
      </c>
    </row>
    <row r="14" spans="1:12" x14ac:dyDescent="0.25">
      <c r="A14" s="20">
        <f t="shared" si="1"/>
        <v>10</v>
      </c>
      <c r="B14" s="22">
        <f t="shared" si="0"/>
        <v>1.6322616219566172E-10</v>
      </c>
      <c r="C14" s="22">
        <f t="shared" si="0"/>
        <v>1.013777119630295E-7</v>
      </c>
      <c r="D14" s="22">
        <f t="shared" si="0"/>
        <v>3.8189850648779602E-5</v>
      </c>
      <c r="E14" s="22">
        <f t="shared" si="0"/>
        <v>8.1015117946814244E-4</v>
      </c>
      <c r="F14" s="22">
        <f t="shared" si="0"/>
        <v>5.2924766764201169E-3</v>
      </c>
      <c r="G14" s="22">
        <f t="shared" si="0"/>
        <v>1.8132788707821874E-2</v>
      </c>
      <c r="H14" s="22">
        <f t="shared" si="0"/>
        <v>4.1303093412337732E-2</v>
      </c>
      <c r="I14" s="22">
        <f t="shared" si="0"/>
        <v>7.0983268650413753E-2</v>
      </c>
      <c r="J14" s="22">
        <f t="shared" si="0"/>
        <v>9.9261533831535603E-2</v>
      </c>
      <c r="K14" s="22">
        <f t="shared" si="0"/>
        <v>0.11858007600857041</v>
      </c>
      <c r="L14" s="22">
        <f t="shared" si="0"/>
        <v>0.1251100357211333</v>
      </c>
    </row>
    <row r="15" spans="1:12" x14ac:dyDescent="0.25">
      <c r="A15" s="20">
        <f t="shared" si="1"/>
        <v>11</v>
      </c>
      <c r="B15" s="22">
        <f t="shared" si="0"/>
        <v>7.4193710088936996E-12</v>
      </c>
      <c r="C15" s="22">
        <f t="shared" si="0"/>
        <v>9.2161556330026647E-9</v>
      </c>
      <c r="D15" s="22">
        <f t="shared" si="0"/>
        <v>6.9436092088690095E-6</v>
      </c>
      <c r="E15" s="22">
        <f t="shared" si="0"/>
        <v>2.2095032167312987E-4</v>
      </c>
      <c r="F15" s="22">
        <f t="shared" si="0"/>
        <v>1.9245369732436813E-3</v>
      </c>
      <c r="G15" s="22">
        <f t="shared" si="0"/>
        <v>8.2421766853735742E-3</v>
      </c>
      <c r="H15" s="22">
        <f t="shared" si="0"/>
        <v>2.2528960043093311E-2</v>
      </c>
      <c r="I15" s="22">
        <f t="shared" si="0"/>
        <v>4.5171170959354211E-2</v>
      </c>
      <c r="J15" s="22">
        <f t="shared" si="0"/>
        <v>7.2190206422934985E-2</v>
      </c>
      <c r="K15" s="22">
        <f t="shared" si="0"/>
        <v>9.7020062188830358E-2</v>
      </c>
      <c r="L15" s="22">
        <f t="shared" si="0"/>
        <v>0.11373639611012118</v>
      </c>
    </row>
    <row r="16" spans="1:12" x14ac:dyDescent="0.25">
      <c r="A16" s="20">
        <f t="shared" si="1"/>
        <v>12</v>
      </c>
      <c r="B16" s="22">
        <f t="shared" si="0"/>
        <v>3.0914045870390615E-13</v>
      </c>
      <c r="C16" s="22">
        <f t="shared" si="0"/>
        <v>7.680129694168931E-10</v>
      </c>
      <c r="D16" s="22">
        <f t="shared" si="0"/>
        <v>1.1572682014781686E-6</v>
      </c>
      <c r="E16" s="22">
        <f t="shared" si="0"/>
        <v>5.5237580418282596E-5</v>
      </c>
      <c r="F16" s="22">
        <f t="shared" si="0"/>
        <v>6.4151232441456022E-4</v>
      </c>
      <c r="G16" s="22">
        <f t="shared" si="0"/>
        <v>3.4342402855723282E-3</v>
      </c>
      <c r="H16" s="22">
        <f t="shared" si="0"/>
        <v>1.1264480021546661E-2</v>
      </c>
      <c r="I16" s="22">
        <f t="shared" si="0"/>
        <v>2.6349849726289985E-2</v>
      </c>
      <c r="J16" s="22">
        <f t="shared" si="0"/>
        <v>4.8126804281956682E-2</v>
      </c>
      <c r="K16" s="22">
        <f t="shared" si="0"/>
        <v>7.2765046641622769E-2</v>
      </c>
      <c r="L16" s="22">
        <f t="shared" si="0"/>
        <v>9.4780330091767673E-2</v>
      </c>
    </row>
    <row r="17" spans="1:12" x14ac:dyDescent="0.25">
      <c r="A17" s="20">
        <f t="shared" si="1"/>
        <v>13</v>
      </c>
      <c r="B17" s="22">
        <f t="shared" si="0"/>
        <v>1.1890017642457933E-14</v>
      </c>
      <c r="C17" s="22">
        <f t="shared" si="0"/>
        <v>5.9077920724376414E-11</v>
      </c>
      <c r="D17" s="22">
        <f t="shared" si="0"/>
        <v>1.7804126176587265E-7</v>
      </c>
      <c r="E17" s="22">
        <f t="shared" si="0"/>
        <v>1.2747133942680586E-5</v>
      </c>
      <c r="F17" s="22">
        <f t="shared" si="0"/>
        <v>1.9738840751217212E-4</v>
      </c>
      <c r="G17" s="22">
        <f t="shared" si="0"/>
        <v>1.3208616482970471E-3</v>
      </c>
      <c r="H17" s="22">
        <f t="shared" si="0"/>
        <v>5.1989907791753836E-3</v>
      </c>
      <c r="I17" s="22">
        <f t="shared" si="0"/>
        <v>1.4188380621848417E-2</v>
      </c>
      <c r="J17" s="22">
        <f t="shared" si="0"/>
        <v>2.961649494274254E-2</v>
      </c>
      <c r="K17" s="22">
        <f t="shared" si="0"/>
        <v>5.0375801521123482E-2</v>
      </c>
      <c r="L17" s="22">
        <f t="shared" si="0"/>
        <v>7.2907946224436637E-2</v>
      </c>
    </row>
    <row r="18" spans="1:12" x14ac:dyDescent="0.25">
      <c r="A18" s="20">
        <f t="shared" si="1"/>
        <v>14</v>
      </c>
      <c r="B18" s="22">
        <f t="shared" si="0"/>
        <v>4.2464348723063881E-16</v>
      </c>
      <c r="C18" s="22">
        <f t="shared" si="0"/>
        <v>4.2198514803125853E-12</v>
      </c>
      <c r="D18" s="22">
        <f t="shared" si="0"/>
        <v>2.5434465966553194E-8</v>
      </c>
      <c r="E18" s="22">
        <f t="shared" si="0"/>
        <v>2.7315287020029766E-6</v>
      </c>
      <c r="F18" s="22">
        <f t="shared" si="0"/>
        <v>5.6396687860620615E-5</v>
      </c>
      <c r="G18" s="22">
        <f t="shared" si="0"/>
        <v>4.7173630296323246E-4</v>
      </c>
      <c r="H18" s="22">
        <f t="shared" si="0"/>
        <v>2.2281389053608732E-3</v>
      </c>
      <c r="I18" s="22">
        <f t="shared" si="0"/>
        <v>7.0941903109242224E-3</v>
      </c>
      <c r="J18" s="22">
        <f t="shared" si="0"/>
        <v>1.6923711395852893E-2</v>
      </c>
      <c r="K18" s="22">
        <f t="shared" si="0"/>
        <v>3.238444383500793E-2</v>
      </c>
      <c r="L18" s="22">
        <f t="shared" si="0"/>
        <v>5.2077104446026187E-2</v>
      </c>
    </row>
    <row r="19" spans="1:12" x14ac:dyDescent="0.25">
      <c r="A19" s="20">
        <f t="shared" si="1"/>
        <v>15</v>
      </c>
      <c r="B19" s="22">
        <f t="shared" si="0"/>
        <v>1.4154782907687952E-17</v>
      </c>
      <c r="C19" s="22">
        <f t="shared" si="0"/>
        <v>2.813234320208389E-13</v>
      </c>
      <c r="D19" s="22">
        <f t="shared" si="0"/>
        <v>3.391262128873753E-9</v>
      </c>
      <c r="E19" s="22">
        <f t="shared" si="0"/>
        <v>5.4630574040059675E-7</v>
      </c>
      <c r="F19" s="22">
        <f t="shared" si="0"/>
        <v>1.5039116762832177E-5</v>
      </c>
      <c r="G19" s="22">
        <f t="shared" si="0"/>
        <v>1.5724543432107704E-4</v>
      </c>
      <c r="H19" s="22">
        <f t="shared" si="0"/>
        <v>8.9125556214435036E-4</v>
      </c>
      <c r="I19" s="22">
        <f t="shared" si="0"/>
        <v>3.3106221450979714E-3</v>
      </c>
      <c r="J19" s="22">
        <f t="shared" si="0"/>
        <v>9.0259794111215482E-3</v>
      </c>
      <c r="K19" s="22">
        <f t="shared" si="0"/>
        <v>1.9430666301004745E-2</v>
      </c>
      <c r="L19" s="22">
        <f t="shared" si="0"/>
        <v>3.4718069630684127E-2</v>
      </c>
    </row>
    <row r="20" spans="1:12" x14ac:dyDescent="0.25">
      <c r="A20" s="20">
        <f t="shared" si="1"/>
        <v>16</v>
      </c>
      <c r="B20" s="22">
        <f t="shared" si="0"/>
        <v>4.4233696586524839E-19</v>
      </c>
      <c r="C20" s="22">
        <f t="shared" si="0"/>
        <v>1.7582714501302425E-14</v>
      </c>
      <c r="D20" s="22">
        <f t="shared" si="0"/>
        <v>4.2390776610922124E-10</v>
      </c>
      <c r="E20" s="22">
        <f t="shared" si="0"/>
        <v>1.0243232632511179E-7</v>
      </c>
      <c r="F20" s="22">
        <f t="shared" si="0"/>
        <v>3.7597791907080502E-6</v>
      </c>
      <c r="G20" s="22">
        <f t="shared" si="0"/>
        <v>4.9139198225336609E-5</v>
      </c>
      <c r="H20" s="22">
        <f t="shared" si="0"/>
        <v>3.3422083580413167E-4</v>
      </c>
      <c r="I20" s="22">
        <f t="shared" si="0"/>
        <v>1.4483971884803614E-3</v>
      </c>
      <c r="J20" s="22">
        <f t="shared" si="0"/>
        <v>4.5129897055607724E-3</v>
      </c>
      <c r="K20" s="22">
        <f t="shared" si="0"/>
        <v>1.0929749794315186E-2</v>
      </c>
      <c r="L20" s="22">
        <f t="shared" si="0"/>
        <v>2.1698793519177549E-2</v>
      </c>
    </row>
    <row r="21" spans="1:12" x14ac:dyDescent="0.25">
      <c r="A21" s="20">
        <f t="shared" si="1"/>
        <v>17</v>
      </c>
      <c r="B21" s="22">
        <f t="shared" ref="B21:L24" si="2">POISSON($A21,B$3,FALSE)</f>
        <v>1.3009910760742607E-20</v>
      </c>
      <c r="C21" s="22">
        <f t="shared" si="2"/>
        <v>1.0342773236060258E-15</v>
      </c>
      <c r="D21" s="22">
        <f t="shared" si="2"/>
        <v>4.9871501895202335E-11</v>
      </c>
      <c r="E21" s="22">
        <f t="shared" si="2"/>
        <v>1.8076292880902042E-8</v>
      </c>
      <c r="F21" s="22">
        <f t="shared" si="2"/>
        <v>8.8465392722542387E-7</v>
      </c>
      <c r="G21" s="22">
        <f t="shared" si="2"/>
        <v>1.4452705360393124E-5</v>
      </c>
      <c r="H21" s="22">
        <f t="shared" si="2"/>
        <v>1.1796029498969329E-4</v>
      </c>
      <c r="I21" s="22">
        <f t="shared" si="2"/>
        <v>5.9639884231544313E-4</v>
      </c>
      <c r="J21" s="22">
        <f t="shared" si="2"/>
        <v>2.1237598614403594E-3</v>
      </c>
      <c r="K21" s="22">
        <f t="shared" si="2"/>
        <v>5.7863381264021485E-3</v>
      </c>
      <c r="L21" s="22">
        <f t="shared" si="2"/>
        <v>1.2763996187751522E-2</v>
      </c>
    </row>
    <row r="22" spans="1:12" x14ac:dyDescent="0.25">
      <c r="A22" s="20">
        <f t="shared" si="1"/>
        <v>18</v>
      </c>
      <c r="B22" s="22">
        <f t="shared" si="2"/>
        <v>3.6138641002062894E-22</v>
      </c>
      <c r="C22" s="22">
        <f t="shared" si="2"/>
        <v>5.7459851311446043E-17</v>
      </c>
      <c r="D22" s="22">
        <f t="shared" si="2"/>
        <v>5.5412779883558056E-12</v>
      </c>
      <c r="E22" s="22">
        <f t="shared" si="2"/>
        <v>3.0127154801503488E-9</v>
      </c>
      <c r="F22" s="22">
        <f t="shared" si="2"/>
        <v>1.9658976160564875E-7</v>
      </c>
      <c r="G22" s="22">
        <f t="shared" si="2"/>
        <v>4.0146403778869831E-6</v>
      </c>
      <c r="H22" s="22">
        <f t="shared" si="2"/>
        <v>3.9320098329897816E-5</v>
      </c>
      <c r="I22" s="22">
        <f t="shared" si="2"/>
        <v>2.3193288312267158E-4</v>
      </c>
      <c r="J22" s="22">
        <f t="shared" si="2"/>
        <v>9.4389327175127167E-4</v>
      </c>
      <c r="K22" s="22">
        <f t="shared" si="2"/>
        <v>2.893169063201076E-3</v>
      </c>
      <c r="L22" s="22">
        <f t="shared" si="2"/>
        <v>7.0911089931952852E-3</v>
      </c>
    </row>
    <row r="23" spans="1:12" x14ac:dyDescent="0.25">
      <c r="A23" s="20">
        <f t="shared" si="1"/>
        <v>19</v>
      </c>
      <c r="B23" s="22">
        <f t="shared" si="2"/>
        <v>9.5101686847533788E-24</v>
      </c>
      <c r="C23" s="22">
        <f t="shared" si="2"/>
        <v>3.0242027006024186E-18</v>
      </c>
      <c r="D23" s="22">
        <f t="shared" si="2"/>
        <v>5.8329241982692627E-13</v>
      </c>
      <c r="E23" s="22">
        <f t="shared" si="2"/>
        <v>4.7569191791847703E-10</v>
      </c>
      <c r="F23" s="22">
        <f t="shared" si="2"/>
        <v>4.1387318232768188E-8</v>
      </c>
      <c r="G23" s="22">
        <f t="shared" si="2"/>
        <v>1.0564843099702586E-6</v>
      </c>
      <c r="H23" s="22">
        <f t="shared" si="2"/>
        <v>1.241687315680987E-5</v>
      </c>
      <c r="I23" s="22">
        <f t="shared" si="2"/>
        <v>8.5448956939931849E-5</v>
      </c>
      <c r="J23" s="22">
        <f t="shared" si="2"/>
        <v>3.9742874600053648E-4</v>
      </c>
      <c r="K23" s="22">
        <f t="shared" si="2"/>
        <v>1.3704485036215598E-3</v>
      </c>
      <c r="L23" s="22">
        <f t="shared" si="2"/>
        <v>3.7321626279975249E-3</v>
      </c>
    </row>
    <row r="24" spans="1:12" x14ac:dyDescent="0.25">
      <c r="A24" s="20">
        <f>A23+1</f>
        <v>20</v>
      </c>
      <c r="B24" s="22">
        <f t="shared" si="2"/>
        <v>2.3775421711883457E-25</v>
      </c>
      <c r="C24" s="22">
        <f t="shared" si="2"/>
        <v>1.51210135030121E-19</v>
      </c>
      <c r="D24" s="22">
        <f t="shared" si="2"/>
        <v>5.8329241982692291E-14</v>
      </c>
      <c r="E24" s="22">
        <f t="shared" si="2"/>
        <v>7.1353787687771353E-11</v>
      </c>
      <c r="F24" s="22">
        <f t="shared" si="2"/>
        <v>8.2774636465536645E-9</v>
      </c>
      <c r="G24" s="22">
        <f t="shared" si="2"/>
        <v>2.6412107749256427E-7</v>
      </c>
      <c r="H24" s="22">
        <f t="shared" si="2"/>
        <v>3.725061947042944E-6</v>
      </c>
      <c r="I24" s="22">
        <f t="shared" si="2"/>
        <v>2.9907134928976161E-5</v>
      </c>
      <c r="J24" s="22">
        <f t="shared" si="2"/>
        <v>1.589714984002141E-4</v>
      </c>
      <c r="K24" s="22">
        <f t="shared" si="2"/>
        <v>6.167018266297025E-4</v>
      </c>
      <c r="L24" s="22">
        <f t="shared" si="2"/>
        <v>1.8660813139987594E-3</v>
      </c>
    </row>
    <row r="26" spans="1:12" x14ac:dyDescent="0.25">
      <c r="A26" s="15" t="s">
        <v>38</v>
      </c>
    </row>
    <row r="27" spans="1:12" x14ac:dyDescent="0.25">
      <c r="B27" s="17"/>
      <c r="C27" s="17"/>
      <c r="D27" s="17"/>
      <c r="E27" s="17"/>
      <c r="F27" s="17"/>
      <c r="G27" s="23" t="s">
        <v>37</v>
      </c>
    </row>
    <row r="28" spans="1:12" x14ac:dyDescent="0.25">
      <c r="A28" s="18" t="s">
        <v>33</v>
      </c>
      <c r="B28" s="19">
        <f>B3</f>
        <v>0.5</v>
      </c>
      <c r="C28" s="19">
        <f t="shared" ref="C28:L28" si="3">C3</f>
        <v>1</v>
      </c>
      <c r="D28" s="19">
        <f t="shared" si="3"/>
        <v>2</v>
      </c>
      <c r="E28" s="19">
        <f t="shared" si="3"/>
        <v>3</v>
      </c>
      <c r="F28" s="19">
        <f t="shared" si="3"/>
        <v>4</v>
      </c>
      <c r="G28" s="19">
        <f t="shared" si="3"/>
        <v>5</v>
      </c>
      <c r="H28" s="19">
        <f t="shared" si="3"/>
        <v>6</v>
      </c>
      <c r="I28" s="19">
        <f t="shared" si="3"/>
        <v>7</v>
      </c>
      <c r="J28" s="19">
        <f t="shared" si="3"/>
        <v>8</v>
      </c>
      <c r="K28" s="19">
        <f t="shared" si="3"/>
        <v>9</v>
      </c>
      <c r="L28" s="19">
        <f t="shared" si="3"/>
        <v>10</v>
      </c>
    </row>
    <row r="29" spans="1:12" x14ac:dyDescent="0.25">
      <c r="A29" s="18">
        <v>0</v>
      </c>
      <c r="B29" s="22">
        <f t="shared" ref="B29:L49" si="4">POISSON($A29,B$3,TRUE)</f>
        <v>0.60653065971263342</v>
      </c>
      <c r="C29" s="22">
        <f t="shared" si="4"/>
        <v>0.36787944117144233</v>
      </c>
      <c r="D29" s="22">
        <f t="shared" si="4"/>
        <v>0.1353352832366127</v>
      </c>
      <c r="E29" s="22">
        <f t="shared" si="4"/>
        <v>4.9787068367863944E-2</v>
      </c>
      <c r="F29" s="22">
        <f t="shared" si="4"/>
        <v>1.8315638888734179E-2</v>
      </c>
      <c r="G29" s="22">
        <f t="shared" si="4"/>
        <v>6.737946999085467E-3</v>
      </c>
      <c r="H29" s="22">
        <f t="shared" si="4"/>
        <v>2.4787521766663585E-3</v>
      </c>
      <c r="I29" s="22">
        <f t="shared" si="4"/>
        <v>9.1188196555451624E-4</v>
      </c>
      <c r="J29" s="22">
        <f t="shared" si="4"/>
        <v>3.3546262790251185E-4</v>
      </c>
      <c r="K29" s="22">
        <f t="shared" si="4"/>
        <v>1.2340980408667956E-4</v>
      </c>
      <c r="L29" s="22">
        <f t="shared" si="4"/>
        <v>4.5399929762484854E-5</v>
      </c>
    </row>
    <row r="30" spans="1:12" x14ac:dyDescent="0.25">
      <c r="A30" s="18">
        <v>1</v>
      </c>
      <c r="B30" s="22">
        <f t="shared" si="4"/>
        <v>0.90979598956895014</v>
      </c>
      <c r="C30" s="22">
        <f t="shared" si="4"/>
        <v>0.73575888234288478</v>
      </c>
      <c r="D30" s="22">
        <f t="shared" si="4"/>
        <v>0.40600584970983811</v>
      </c>
      <c r="E30" s="22">
        <f t="shared" si="4"/>
        <v>0.19914827347145578</v>
      </c>
      <c r="F30" s="22">
        <f t="shared" si="4"/>
        <v>9.1578194443670893E-2</v>
      </c>
      <c r="G30" s="22">
        <f t="shared" si="4"/>
        <v>4.0427681994512799E-2</v>
      </c>
      <c r="H30" s="22">
        <f t="shared" si="4"/>
        <v>1.7351265236664509E-2</v>
      </c>
      <c r="I30" s="22">
        <f t="shared" si="4"/>
        <v>7.2950557244361299E-3</v>
      </c>
      <c r="J30" s="22">
        <f t="shared" si="4"/>
        <v>3.0191636511226068E-3</v>
      </c>
      <c r="K30" s="22">
        <f t="shared" si="4"/>
        <v>1.2340980408667955E-3</v>
      </c>
      <c r="L30" s="22">
        <f t="shared" si="4"/>
        <v>4.9939922738733344E-4</v>
      </c>
    </row>
    <row r="31" spans="1:12" x14ac:dyDescent="0.25">
      <c r="A31" s="20">
        <f>A30+1</f>
        <v>2</v>
      </c>
      <c r="B31" s="22">
        <f t="shared" si="4"/>
        <v>0.98561232203302929</v>
      </c>
      <c r="C31" s="22">
        <f t="shared" si="4"/>
        <v>0.91969860292860584</v>
      </c>
      <c r="D31" s="22">
        <f t="shared" si="4"/>
        <v>0.6766764161830634</v>
      </c>
      <c r="E31" s="22">
        <f t="shared" si="4"/>
        <v>0.42319008112684342</v>
      </c>
      <c r="F31" s="22">
        <f t="shared" si="4"/>
        <v>0.23810330555354431</v>
      </c>
      <c r="G31" s="22">
        <f t="shared" si="4"/>
        <v>0.12465201948308113</v>
      </c>
      <c r="H31" s="22">
        <f t="shared" si="4"/>
        <v>6.196880441665896E-2</v>
      </c>
      <c r="I31" s="22">
        <f t="shared" si="4"/>
        <v>2.9636163880521777E-2</v>
      </c>
      <c r="J31" s="22">
        <f t="shared" si="4"/>
        <v>1.3753967744002987E-2</v>
      </c>
      <c r="K31" s="22">
        <f t="shared" si="4"/>
        <v>6.2321951063773178E-3</v>
      </c>
      <c r="L31" s="22">
        <f t="shared" si="4"/>
        <v>2.7693957155115762E-3</v>
      </c>
    </row>
    <row r="32" spans="1:12" x14ac:dyDescent="0.25">
      <c r="A32" s="20">
        <f t="shared" ref="A32:A49" si="5">A31+1</f>
        <v>3</v>
      </c>
      <c r="B32" s="22">
        <f t="shared" si="4"/>
        <v>0.9982483774437092</v>
      </c>
      <c r="C32" s="22">
        <f t="shared" si="4"/>
        <v>0.98101184312384615</v>
      </c>
      <c r="D32" s="22">
        <f t="shared" si="4"/>
        <v>0.85712346049854693</v>
      </c>
      <c r="E32" s="22">
        <f t="shared" si="4"/>
        <v>0.64723188878223126</v>
      </c>
      <c r="F32" s="22">
        <f t="shared" si="4"/>
        <v>0.43347012036670896</v>
      </c>
      <c r="G32" s="22">
        <f t="shared" si="4"/>
        <v>0.26502591529736169</v>
      </c>
      <c r="H32" s="22">
        <f t="shared" si="4"/>
        <v>0.15120388277664787</v>
      </c>
      <c r="I32" s="22">
        <f t="shared" si="4"/>
        <v>8.1765416244721612E-2</v>
      </c>
      <c r="J32" s="22">
        <f t="shared" si="4"/>
        <v>4.2380111991683997E-2</v>
      </c>
      <c r="K32" s="22">
        <f t="shared" si="4"/>
        <v>2.1226486302908885E-2</v>
      </c>
      <c r="L32" s="22">
        <f t="shared" si="4"/>
        <v>1.0336050675925718E-2</v>
      </c>
    </row>
    <row r="33" spans="1:12" x14ac:dyDescent="0.25">
      <c r="A33" s="20">
        <f t="shared" si="5"/>
        <v>4</v>
      </c>
      <c r="B33" s="22">
        <f t="shared" si="4"/>
        <v>0.99982788437004411</v>
      </c>
      <c r="C33" s="22">
        <f t="shared" si="4"/>
        <v>0.99634015317265634</v>
      </c>
      <c r="D33" s="22">
        <f t="shared" si="4"/>
        <v>0.94734698265628881</v>
      </c>
      <c r="E33" s="22">
        <f t="shared" si="4"/>
        <v>0.81526324452377208</v>
      </c>
      <c r="F33" s="22">
        <f t="shared" si="4"/>
        <v>0.62883693517987349</v>
      </c>
      <c r="G33" s="22">
        <f t="shared" si="4"/>
        <v>0.44049328506521235</v>
      </c>
      <c r="H33" s="22">
        <f t="shared" si="4"/>
        <v>0.28505650031663121</v>
      </c>
      <c r="I33" s="22">
        <f t="shared" si="4"/>
        <v>0.17299160788207132</v>
      </c>
      <c r="J33" s="22">
        <f t="shared" si="4"/>
        <v>9.9632400487046024E-2</v>
      </c>
      <c r="K33" s="22">
        <f t="shared" si="4"/>
        <v>5.4963641495104909E-2</v>
      </c>
      <c r="L33" s="22">
        <f t="shared" si="4"/>
        <v>2.9252688076961065E-2</v>
      </c>
    </row>
    <row r="34" spans="1:12" x14ac:dyDescent="0.25">
      <c r="A34" s="20">
        <f t="shared" si="5"/>
        <v>5</v>
      </c>
      <c r="B34" s="22">
        <f t="shared" si="4"/>
        <v>0.99998583506267757</v>
      </c>
      <c r="C34" s="22">
        <f t="shared" si="4"/>
        <v>0.99940581518241833</v>
      </c>
      <c r="D34" s="22">
        <f t="shared" si="4"/>
        <v>0.98343639151938556</v>
      </c>
      <c r="E34" s="22">
        <f t="shared" si="4"/>
        <v>0.91608205796869657</v>
      </c>
      <c r="F34" s="22">
        <f t="shared" si="4"/>
        <v>0.78513038703040516</v>
      </c>
      <c r="G34" s="22">
        <f t="shared" si="4"/>
        <v>0.61596065483306306</v>
      </c>
      <c r="H34" s="22">
        <f t="shared" si="4"/>
        <v>0.44567964136461113</v>
      </c>
      <c r="I34" s="22">
        <f t="shared" si="4"/>
        <v>0.30070827617436097</v>
      </c>
      <c r="J34" s="22">
        <f t="shared" si="4"/>
        <v>0.19123606207962526</v>
      </c>
      <c r="K34" s="22">
        <f t="shared" si="4"/>
        <v>0.11569052084105776</v>
      </c>
      <c r="L34" s="22">
        <f t="shared" si="4"/>
        <v>6.7085962879031805E-2</v>
      </c>
    </row>
    <row r="35" spans="1:12" x14ac:dyDescent="0.25">
      <c r="A35" s="20">
        <f t="shared" si="5"/>
        <v>6</v>
      </c>
      <c r="B35" s="22">
        <f t="shared" si="4"/>
        <v>0.99999899762039712</v>
      </c>
      <c r="C35" s="22">
        <f t="shared" si="4"/>
        <v>0.99991675885071196</v>
      </c>
      <c r="D35" s="22">
        <f t="shared" si="4"/>
        <v>0.99546619447375106</v>
      </c>
      <c r="E35" s="22">
        <f t="shared" si="4"/>
        <v>0.96649146469115887</v>
      </c>
      <c r="F35" s="22">
        <f t="shared" si="4"/>
        <v>0.88932602159742624</v>
      </c>
      <c r="G35" s="22">
        <f t="shared" si="4"/>
        <v>0.7621834629729386</v>
      </c>
      <c r="H35" s="22">
        <f t="shared" si="4"/>
        <v>0.60630278241259128</v>
      </c>
      <c r="I35" s="22">
        <f t="shared" si="4"/>
        <v>0.44971105584869897</v>
      </c>
      <c r="J35" s="22">
        <f t="shared" si="4"/>
        <v>0.31337427753639757</v>
      </c>
      <c r="K35" s="22">
        <f t="shared" si="4"/>
        <v>0.20678083985998702</v>
      </c>
      <c r="L35" s="22">
        <f t="shared" si="4"/>
        <v>0.13014142088248298</v>
      </c>
    </row>
    <row r="36" spans="1:12" x14ac:dyDescent="0.25">
      <c r="A36" s="20">
        <f t="shared" si="5"/>
        <v>7</v>
      </c>
      <c r="B36" s="22">
        <f t="shared" si="4"/>
        <v>0.99999993780309138</v>
      </c>
      <c r="C36" s="22">
        <f t="shared" si="4"/>
        <v>0.99998975080332531</v>
      </c>
      <c r="D36" s="22">
        <f t="shared" si="4"/>
        <v>0.99890328103214132</v>
      </c>
      <c r="E36" s="22">
        <f t="shared" si="4"/>
        <v>0.98809549614364256</v>
      </c>
      <c r="F36" s="22">
        <f t="shared" si="4"/>
        <v>0.94886638420715264</v>
      </c>
      <c r="G36" s="22">
        <f t="shared" si="4"/>
        <v>0.86662832592999273</v>
      </c>
      <c r="H36" s="22">
        <f t="shared" si="4"/>
        <v>0.74397976045371694</v>
      </c>
      <c r="I36" s="22">
        <f t="shared" si="4"/>
        <v>0.5987138355230367</v>
      </c>
      <c r="J36" s="22">
        <f t="shared" si="4"/>
        <v>0.45296080948699424</v>
      </c>
      <c r="K36" s="22">
        <f t="shared" si="4"/>
        <v>0.323896964312896</v>
      </c>
      <c r="L36" s="22">
        <f t="shared" si="4"/>
        <v>0.22022064660169899</v>
      </c>
    </row>
    <row r="37" spans="1:12" x14ac:dyDescent="0.25">
      <c r="A37" s="20">
        <f t="shared" si="5"/>
        <v>8</v>
      </c>
      <c r="B37" s="22">
        <f t="shared" si="4"/>
        <v>0.99999999656450977</v>
      </c>
      <c r="C37" s="22">
        <f t="shared" si="4"/>
        <v>0.99999887479740202</v>
      </c>
      <c r="D37" s="22">
        <f t="shared" si="4"/>
        <v>0.99976255267173886</v>
      </c>
      <c r="E37" s="22">
        <f t="shared" si="4"/>
        <v>0.996197007938324</v>
      </c>
      <c r="F37" s="22">
        <f t="shared" si="4"/>
        <v>0.97863656551201583</v>
      </c>
      <c r="G37" s="22">
        <f t="shared" si="4"/>
        <v>0.93190636527815141</v>
      </c>
      <c r="H37" s="22">
        <f t="shared" si="4"/>
        <v>0.84723749398456127</v>
      </c>
      <c r="I37" s="22">
        <f t="shared" si="4"/>
        <v>0.7290912677380823</v>
      </c>
      <c r="J37" s="22">
        <f t="shared" si="4"/>
        <v>0.59254734143759147</v>
      </c>
      <c r="K37" s="22">
        <f t="shared" si="4"/>
        <v>0.45565260432241883</v>
      </c>
      <c r="L37" s="22">
        <f t="shared" si="4"/>
        <v>0.33281967875071894</v>
      </c>
    </row>
    <row r="38" spans="1:12" x14ac:dyDescent="0.25">
      <c r="A38" s="20">
        <f t="shared" si="5"/>
        <v>9</v>
      </c>
      <c r="B38" s="22">
        <f t="shared" si="4"/>
        <v>0.99999999982903298</v>
      </c>
      <c r="C38" s="22">
        <f t="shared" si="4"/>
        <v>0.9999998885745216</v>
      </c>
      <c r="D38" s="22">
        <f t="shared" si="4"/>
        <v>0.99995350192498278</v>
      </c>
      <c r="E38" s="22">
        <f t="shared" si="4"/>
        <v>0.99889751186988451</v>
      </c>
      <c r="F38" s="22">
        <f t="shared" si="4"/>
        <v>0.99186775720306608</v>
      </c>
      <c r="G38" s="22">
        <f t="shared" si="4"/>
        <v>0.96817194269379514</v>
      </c>
      <c r="H38" s="22">
        <f t="shared" si="4"/>
        <v>0.91607598300512416</v>
      </c>
      <c r="I38" s="22">
        <f t="shared" si="4"/>
        <v>0.83049593723867332</v>
      </c>
      <c r="J38" s="22">
        <f t="shared" si="4"/>
        <v>0.71662425872701097</v>
      </c>
      <c r="K38" s="22">
        <f t="shared" si="4"/>
        <v>0.58740824433194128</v>
      </c>
      <c r="L38" s="22">
        <f t="shared" si="4"/>
        <v>0.45792971447185227</v>
      </c>
    </row>
    <row r="39" spans="1:12" x14ac:dyDescent="0.25">
      <c r="A39" s="20">
        <f t="shared" si="5"/>
        <v>10</v>
      </c>
      <c r="B39" s="22">
        <f t="shared" si="4"/>
        <v>0.99999999999225908</v>
      </c>
      <c r="C39" s="22">
        <f t="shared" si="4"/>
        <v>0.9999999899522336</v>
      </c>
      <c r="D39" s="22">
        <f t="shared" si="4"/>
        <v>0.99999169177563152</v>
      </c>
      <c r="E39" s="22">
        <f t="shared" si="4"/>
        <v>0.99970766304935266</v>
      </c>
      <c r="F39" s="22">
        <f t="shared" si="4"/>
        <v>0.99716023387948627</v>
      </c>
      <c r="G39" s="22">
        <f t="shared" si="4"/>
        <v>0.98630473140161712</v>
      </c>
      <c r="H39" s="22">
        <f t="shared" si="4"/>
        <v>0.95737907641746189</v>
      </c>
      <c r="I39" s="22">
        <f t="shared" si="4"/>
        <v>0.90147920588908714</v>
      </c>
      <c r="J39" s="22">
        <f t="shared" si="4"/>
        <v>0.81588579255854654</v>
      </c>
      <c r="K39" s="22">
        <f t="shared" si="4"/>
        <v>0.70598832034051195</v>
      </c>
      <c r="L39" s="22">
        <f t="shared" si="4"/>
        <v>0.58303975019298537</v>
      </c>
    </row>
    <row r="40" spans="1:12" x14ac:dyDescent="0.25">
      <c r="A40" s="20">
        <f t="shared" si="5"/>
        <v>11</v>
      </c>
      <c r="B40" s="22">
        <f t="shared" si="4"/>
        <v>0.99999999999967848</v>
      </c>
      <c r="C40" s="22">
        <f t="shared" si="4"/>
        <v>0.99999999916838922</v>
      </c>
      <c r="D40" s="22">
        <f t="shared" si="4"/>
        <v>0.99999863538484046</v>
      </c>
      <c r="E40" s="22">
        <f t="shared" si="4"/>
        <v>0.99992861337102579</v>
      </c>
      <c r="F40" s="22">
        <f t="shared" si="4"/>
        <v>0.99908477085272995</v>
      </c>
      <c r="G40" s="22">
        <f t="shared" si="4"/>
        <v>0.99454690808699064</v>
      </c>
      <c r="H40" s="22">
        <f t="shared" si="4"/>
        <v>0.97990803646055524</v>
      </c>
      <c r="I40" s="22">
        <f t="shared" si="4"/>
        <v>0.94665037684844133</v>
      </c>
      <c r="J40" s="22">
        <f t="shared" si="4"/>
        <v>0.88807599898148137</v>
      </c>
      <c r="K40" s="22">
        <f t="shared" si="4"/>
        <v>0.80300838252934215</v>
      </c>
      <c r="L40" s="22">
        <f t="shared" si="4"/>
        <v>0.69677614630310658</v>
      </c>
    </row>
    <row r="41" spans="1:12" x14ac:dyDescent="0.25">
      <c r="A41" s="20">
        <f t="shared" si="5"/>
        <v>12</v>
      </c>
      <c r="B41" s="22">
        <f t="shared" si="4"/>
        <v>0.99999999999998768</v>
      </c>
      <c r="C41" s="22">
        <f t="shared" si="4"/>
        <v>0.99999999993640221</v>
      </c>
      <c r="D41" s="22">
        <f t="shared" si="4"/>
        <v>0.99999979265304184</v>
      </c>
      <c r="E41" s="22">
        <f t="shared" si="4"/>
        <v>0.99998385095144404</v>
      </c>
      <c r="F41" s="22">
        <f t="shared" si="4"/>
        <v>0.99972628317714451</v>
      </c>
      <c r="G41" s="22">
        <f t="shared" si="4"/>
        <v>0.99798114837256291</v>
      </c>
      <c r="H41" s="22">
        <f t="shared" si="4"/>
        <v>0.99117251648210192</v>
      </c>
      <c r="I41" s="22">
        <f t="shared" si="4"/>
        <v>0.9730002265747314</v>
      </c>
      <c r="J41" s="22">
        <f t="shared" si="4"/>
        <v>0.93620280326343808</v>
      </c>
      <c r="K41" s="22">
        <f t="shared" si="4"/>
        <v>0.87577342917096479</v>
      </c>
      <c r="L41" s="22">
        <f t="shared" si="4"/>
        <v>0.79155647639487436</v>
      </c>
    </row>
    <row r="42" spans="1:12" x14ac:dyDescent="0.25">
      <c r="A42" s="20">
        <f t="shared" si="5"/>
        <v>13</v>
      </c>
      <c r="B42" s="22">
        <f t="shared" si="4"/>
        <v>0.99999999999999956</v>
      </c>
      <c r="C42" s="22">
        <f t="shared" si="4"/>
        <v>0.99999999999548017</v>
      </c>
      <c r="D42" s="22">
        <f t="shared" si="4"/>
        <v>0.99999997069430369</v>
      </c>
      <c r="E42" s="22">
        <f t="shared" si="4"/>
        <v>0.99999659808538677</v>
      </c>
      <c r="F42" s="22">
        <f t="shared" si="4"/>
        <v>0.99992367158465667</v>
      </c>
      <c r="G42" s="22">
        <f t="shared" si="4"/>
        <v>0.99930201002086005</v>
      </c>
      <c r="H42" s="22">
        <f t="shared" si="4"/>
        <v>0.99637150726127721</v>
      </c>
      <c r="I42" s="22">
        <f t="shared" si="4"/>
        <v>0.98718860719657975</v>
      </c>
      <c r="J42" s="22">
        <f t="shared" si="4"/>
        <v>0.96581929820618062</v>
      </c>
      <c r="K42" s="22">
        <f t="shared" si="4"/>
        <v>0.92614923069208832</v>
      </c>
      <c r="L42" s="22">
        <f t="shared" si="4"/>
        <v>0.864464422619311</v>
      </c>
    </row>
    <row r="43" spans="1:12" x14ac:dyDescent="0.25">
      <c r="A43" s="20">
        <f t="shared" si="5"/>
        <v>14</v>
      </c>
      <c r="B43" s="22">
        <f t="shared" si="4"/>
        <v>1</v>
      </c>
      <c r="C43" s="22">
        <f t="shared" si="4"/>
        <v>0.99999999999970002</v>
      </c>
      <c r="D43" s="22">
        <f t="shared" si="4"/>
        <v>0.99999999612876955</v>
      </c>
      <c r="E43" s="22">
        <f t="shared" si="4"/>
        <v>0.99999932961408877</v>
      </c>
      <c r="F43" s="22">
        <f t="shared" si="4"/>
        <v>0.99998006827251729</v>
      </c>
      <c r="G43" s="22">
        <f t="shared" si="4"/>
        <v>0.99977374632382321</v>
      </c>
      <c r="H43" s="22">
        <f t="shared" si="4"/>
        <v>0.9985996461666381</v>
      </c>
      <c r="I43" s="22">
        <f t="shared" si="4"/>
        <v>0.99428279750750392</v>
      </c>
      <c r="J43" s="22">
        <f t="shared" si="4"/>
        <v>0.98274300960203353</v>
      </c>
      <c r="K43" s="22">
        <f t="shared" si="4"/>
        <v>0.95853367452709626</v>
      </c>
      <c r="L43" s="22">
        <f t="shared" si="4"/>
        <v>0.9165415270653372</v>
      </c>
    </row>
    <row r="44" spans="1:12" x14ac:dyDescent="0.25">
      <c r="A44" s="20">
        <f t="shared" si="5"/>
        <v>15</v>
      </c>
      <c r="B44" s="22">
        <f t="shared" si="4"/>
        <v>1</v>
      </c>
      <c r="C44" s="22">
        <f t="shared" si="4"/>
        <v>0.99999999999998135</v>
      </c>
      <c r="D44" s="22">
        <f t="shared" si="4"/>
        <v>0.99999999952003171</v>
      </c>
      <c r="E44" s="22">
        <f t="shared" si="4"/>
        <v>0.9999998759198292</v>
      </c>
      <c r="F44" s="22">
        <f t="shared" si="4"/>
        <v>0.9999951073892801</v>
      </c>
      <c r="G44" s="22">
        <f t="shared" si="4"/>
        <v>0.99993099175814426</v>
      </c>
      <c r="H44" s="22">
        <f t="shared" si="4"/>
        <v>0.99949090172878252</v>
      </c>
      <c r="I44" s="22">
        <f t="shared" si="4"/>
        <v>0.99759341965260195</v>
      </c>
      <c r="J44" s="22">
        <f t="shared" si="4"/>
        <v>0.99176898901315513</v>
      </c>
      <c r="K44" s="22">
        <f t="shared" si="4"/>
        <v>0.97796434082810102</v>
      </c>
      <c r="L44" s="22">
        <f t="shared" si="4"/>
        <v>0.95125959669602134</v>
      </c>
    </row>
    <row r="45" spans="1:12" x14ac:dyDescent="0.25">
      <c r="A45" s="20">
        <f t="shared" si="5"/>
        <v>16</v>
      </c>
      <c r="B45" s="22">
        <f t="shared" si="4"/>
        <v>1</v>
      </c>
      <c r="C45" s="22">
        <f t="shared" si="4"/>
        <v>0.99999999999999889</v>
      </c>
      <c r="D45" s="22">
        <f t="shared" si="4"/>
        <v>0.99999999994393951</v>
      </c>
      <c r="E45" s="22">
        <f t="shared" si="4"/>
        <v>0.99999997835215548</v>
      </c>
      <c r="F45" s="22">
        <f t="shared" si="4"/>
        <v>0.99999886716847075</v>
      </c>
      <c r="G45" s="22">
        <f t="shared" si="4"/>
        <v>0.99998013095636962</v>
      </c>
      <c r="H45" s="22">
        <f t="shared" si="4"/>
        <v>0.99982512256458667</v>
      </c>
      <c r="I45" s="22">
        <f t="shared" si="4"/>
        <v>0.9990418168410824</v>
      </c>
      <c r="J45" s="22">
        <f t="shared" si="4"/>
        <v>0.99628197871871582</v>
      </c>
      <c r="K45" s="22">
        <f t="shared" si="4"/>
        <v>0.98889409062241618</v>
      </c>
      <c r="L45" s="22">
        <f t="shared" si="4"/>
        <v>0.97295839021519881</v>
      </c>
    </row>
    <row r="46" spans="1:12" x14ac:dyDescent="0.25">
      <c r="A46" s="20">
        <f t="shared" si="5"/>
        <v>17</v>
      </c>
      <c r="B46" s="22">
        <f t="shared" si="4"/>
        <v>1</v>
      </c>
      <c r="C46" s="22">
        <f t="shared" si="4"/>
        <v>1</v>
      </c>
      <c r="D46" s="22">
        <f t="shared" si="4"/>
        <v>0.99999999999381095</v>
      </c>
      <c r="E46" s="22">
        <f t="shared" si="4"/>
        <v>0.99999999642844839</v>
      </c>
      <c r="F46" s="22">
        <f t="shared" si="4"/>
        <v>0.99999975182239798</v>
      </c>
      <c r="G46" s="22">
        <f t="shared" si="4"/>
        <v>0.99999458366173011</v>
      </c>
      <c r="H46" s="22">
        <f t="shared" si="4"/>
        <v>0.99994308285957634</v>
      </c>
      <c r="I46" s="22">
        <f t="shared" si="4"/>
        <v>0.99963821568339783</v>
      </c>
      <c r="J46" s="22">
        <f t="shared" si="4"/>
        <v>0.99840573858015624</v>
      </c>
      <c r="K46" s="22">
        <f t="shared" si="4"/>
        <v>0.99468042874881835</v>
      </c>
      <c r="L46" s="22">
        <f t="shared" si="4"/>
        <v>0.9857223864029504</v>
      </c>
    </row>
    <row r="47" spans="1:12" x14ac:dyDescent="0.25">
      <c r="A47" s="20">
        <f t="shared" si="5"/>
        <v>18</v>
      </c>
      <c r="B47" s="22">
        <f t="shared" si="4"/>
        <v>1</v>
      </c>
      <c r="C47" s="22">
        <f t="shared" si="4"/>
        <v>1</v>
      </c>
      <c r="D47" s="22">
        <f t="shared" si="4"/>
        <v>0.9999999999993523</v>
      </c>
      <c r="E47" s="22">
        <f t="shared" si="4"/>
        <v>0.99999999944116391</v>
      </c>
      <c r="F47" s="22">
        <f t="shared" si="4"/>
        <v>0.99999994841215967</v>
      </c>
      <c r="G47" s="22">
        <f t="shared" si="4"/>
        <v>0.99999859830210791</v>
      </c>
      <c r="H47" s="22">
        <f t="shared" si="4"/>
        <v>0.99998240295790619</v>
      </c>
      <c r="I47" s="22">
        <f t="shared" si="4"/>
        <v>0.99987014856652046</v>
      </c>
      <c r="J47" s="22">
        <f t="shared" si="4"/>
        <v>0.99934963185190751</v>
      </c>
      <c r="K47" s="22">
        <f t="shared" si="4"/>
        <v>0.99757359781201949</v>
      </c>
      <c r="L47" s="22">
        <f t="shared" si="4"/>
        <v>0.99281349539614561</v>
      </c>
    </row>
    <row r="48" spans="1:12" x14ac:dyDescent="0.25">
      <c r="A48" s="20">
        <f t="shared" si="5"/>
        <v>19</v>
      </c>
      <c r="B48" s="22">
        <f t="shared" si="4"/>
        <v>1</v>
      </c>
      <c r="C48" s="22">
        <f t="shared" si="4"/>
        <v>1</v>
      </c>
      <c r="D48" s="22">
        <f t="shared" si="4"/>
        <v>0.99999999999993561</v>
      </c>
      <c r="E48" s="22">
        <f t="shared" si="4"/>
        <v>0.99999999991685584</v>
      </c>
      <c r="F48" s="22">
        <f t="shared" si="4"/>
        <v>0.99999998979947791</v>
      </c>
      <c r="G48" s="22">
        <f t="shared" si="4"/>
        <v>0.99999965478641784</v>
      </c>
      <c r="H48" s="22">
        <f t="shared" si="4"/>
        <v>0.99999481983106298</v>
      </c>
      <c r="I48" s="22">
        <f t="shared" si="4"/>
        <v>0.99995559752346042</v>
      </c>
      <c r="J48" s="22">
        <f t="shared" si="4"/>
        <v>0.99974706059790797</v>
      </c>
      <c r="K48" s="22">
        <f t="shared" si="4"/>
        <v>0.99894404631564093</v>
      </c>
      <c r="L48" s="22">
        <f t="shared" si="4"/>
        <v>0.99654565802414319</v>
      </c>
    </row>
    <row r="49" spans="1:12" x14ac:dyDescent="0.25">
      <c r="A49" s="20">
        <f t="shared" si="5"/>
        <v>20</v>
      </c>
      <c r="B49" s="22">
        <f t="shared" si="4"/>
        <v>1</v>
      </c>
      <c r="C49" s="22">
        <f t="shared" si="4"/>
        <v>1</v>
      </c>
      <c r="D49" s="22">
        <f t="shared" si="4"/>
        <v>0.99999999999999389</v>
      </c>
      <c r="E49" s="22">
        <f t="shared" si="4"/>
        <v>0.99999999998820954</v>
      </c>
      <c r="F49" s="22">
        <f t="shared" si="4"/>
        <v>0.99999999807694162</v>
      </c>
      <c r="G49" s="22">
        <f t="shared" si="4"/>
        <v>0.9999999189074954</v>
      </c>
      <c r="H49" s="22">
        <f t="shared" si="4"/>
        <v>0.99999854489300999</v>
      </c>
      <c r="I49" s="22">
        <f t="shared" si="4"/>
        <v>0.99998550465838931</v>
      </c>
      <c r="J49" s="22">
        <f t="shared" si="4"/>
        <v>0.99990603209630824</v>
      </c>
      <c r="K49" s="22">
        <f t="shared" si="4"/>
        <v>0.99956074814227069</v>
      </c>
      <c r="L49" s="22">
        <f t="shared" si="4"/>
        <v>0.99841173933814198</v>
      </c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1189"/>
  <sheetViews>
    <sheetView workbookViewId="0">
      <selection activeCell="E16" sqref="E16"/>
    </sheetView>
  </sheetViews>
  <sheetFormatPr defaultColWidth="9.109375" defaultRowHeight="16.8" x14ac:dyDescent="0.3"/>
  <cols>
    <col min="1" max="1" width="52.44140625" style="24" customWidth="1"/>
    <col min="2" max="4" width="7.6640625" style="24" customWidth="1"/>
    <col min="5" max="5" width="7.6640625" style="25" customWidth="1"/>
    <col min="6" max="8" width="7.6640625" style="24" customWidth="1"/>
    <col min="9" max="10" width="14.44140625" style="24" customWidth="1"/>
    <col min="11" max="16384" width="9.109375" style="24"/>
  </cols>
  <sheetData>
    <row r="1" spans="1:10" x14ac:dyDescent="0.3">
      <c r="A1" s="24" t="s">
        <v>34</v>
      </c>
    </row>
    <row r="3" spans="1:10" x14ac:dyDescent="0.3">
      <c r="A3" s="26" t="s">
        <v>21</v>
      </c>
      <c r="B3" s="26">
        <v>5</v>
      </c>
      <c r="C3" s="26">
        <v>6</v>
      </c>
      <c r="D3" s="26">
        <v>7</v>
      </c>
      <c r="E3" s="27">
        <v>8</v>
      </c>
      <c r="F3" s="26">
        <v>9</v>
      </c>
      <c r="G3" s="26">
        <v>10</v>
      </c>
      <c r="H3" s="26">
        <v>11</v>
      </c>
      <c r="I3" s="28"/>
    </row>
    <row r="4" spans="1:10" x14ac:dyDescent="0.3">
      <c r="A4" s="26" t="s">
        <v>22</v>
      </c>
      <c r="B4" s="26">
        <v>12</v>
      </c>
      <c r="C4" s="26">
        <v>12</v>
      </c>
      <c r="D4" s="26">
        <v>12</v>
      </c>
      <c r="E4" s="27">
        <v>12</v>
      </c>
      <c r="F4" s="26">
        <v>12</v>
      </c>
      <c r="G4" s="26">
        <v>12</v>
      </c>
      <c r="H4" s="26">
        <v>12</v>
      </c>
      <c r="I4" s="28"/>
    </row>
    <row r="5" spans="1:10" x14ac:dyDescent="0.3">
      <c r="A5" s="26" t="s">
        <v>30</v>
      </c>
      <c r="B5" s="26">
        <v>6</v>
      </c>
      <c r="C5" s="26">
        <v>6</v>
      </c>
      <c r="D5" s="26">
        <v>6</v>
      </c>
      <c r="E5" s="27">
        <v>6</v>
      </c>
      <c r="F5" s="26">
        <v>6</v>
      </c>
      <c r="G5" s="26">
        <v>6</v>
      </c>
      <c r="H5" s="26">
        <v>6</v>
      </c>
      <c r="I5" s="28"/>
    </row>
    <row r="6" spans="1:10" x14ac:dyDescent="0.3">
      <c r="A6" s="26" t="s">
        <v>28</v>
      </c>
      <c r="B6" s="26"/>
      <c r="C6" s="26"/>
      <c r="D6" s="26"/>
      <c r="E6" s="27"/>
      <c r="F6" s="26"/>
      <c r="G6" s="26"/>
      <c r="H6" s="26"/>
      <c r="I6" s="28"/>
    </row>
    <row r="7" spans="1:10" x14ac:dyDescent="0.3">
      <c r="A7" s="26" t="s">
        <v>23</v>
      </c>
      <c r="B7" s="29">
        <f t="shared" ref="B7:H7" si="0">1-(B3/B4)</f>
        <v>0.58333333333333326</v>
      </c>
      <c r="C7" s="29">
        <f t="shared" si="0"/>
        <v>0.5</v>
      </c>
      <c r="D7" s="29">
        <f t="shared" si="0"/>
        <v>0.41666666666666663</v>
      </c>
      <c r="E7" s="30">
        <f t="shared" si="0"/>
        <v>0.33333333333333337</v>
      </c>
      <c r="F7" s="29">
        <f t="shared" si="0"/>
        <v>0.25</v>
      </c>
      <c r="G7" s="29">
        <f t="shared" si="0"/>
        <v>0.16666666666666663</v>
      </c>
      <c r="H7" s="29">
        <f t="shared" si="0"/>
        <v>8.333333333333337E-2</v>
      </c>
      <c r="I7" s="28"/>
      <c r="J7" s="31"/>
    </row>
    <row r="8" spans="1:10" x14ac:dyDescent="0.3">
      <c r="A8" s="26" t="s">
        <v>24</v>
      </c>
      <c r="B8" s="29">
        <f t="shared" ref="B8:H8" si="1">B3^2/(B4*(B4-B3))</f>
        <v>0.29761904761904762</v>
      </c>
      <c r="C8" s="29">
        <f t="shared" si="1"/>
        <v>0.5</v>
      </c>
      <c r="D8" s="29">
        <f t="shared" si="1"/>
        <v>0.81666666666666665</v>
      </c>
      <c r="E8" s="30">
        <f t="shared" si="1"/>
        <v>1.3333333333333333</v>
      </c>
      <c r="F8" s="29">
        <f t="shared" si="1"/>
        <v>2.25</v>
      </c>
      <c r="G8" s="29">
        <f t="shared" si="1"/>
        <v>4.166666666666667</v>
      </c>
      <c r="H8" s="29">
        <f t="shared" si="1"/>
        <v>10.083333333333334</v>
      </c>
      <c r="I8" s="28"/>
      <c r="J8" s="31"/>
    </row>
    <row r="9" spans="1:10" x14ac:dyDescent="0.3">
      <c r="A9" s="26" t="s">
        <v>25</v>
      </c>
      <c r="B9" s="29">
        <f t="shared" ref="B9:H9" si="2">B8+B3/B4</f>
        <v>0.7142857142857143</v>
      </c>
      <c r="C9" s="29">
        <f t="shared" si="2"/>
        <v>1</v>
      </c>
      <c r="D9" s="29">
        <f t="shared" si="2"/>
        <v>1.4</v>
      </c>
      <c r="E9" s="30">
        <f t="shared" si="2"/>
        <v>2</v>
      </c>
      <c r="F9" s="29">
        <f t="shared" si="2"/>
        <v>3</v>
      </c>
      <c r="G9" s="29">
        <f t="shared" si="2"/>
        <v>5</v>
      </c>
      <c r="H9" s="29">
        <f t="shared" si="2"/>
        <v>11</v>
      </c>
      <c r="I9" s="28"/>
      <c r="J9" s="31"/>
    </row>
    <row r="10" spans="1:10" x14ac:dyDescent="0.3">
      <c r="A10" s="26" t="s">
        <v>40</v>
      </c>
      <c r="B10" s="29">
        <f t="shared" ref="B10:H10" si="3">B8/B3</f>
        <v>5.9523809523809521E-2</v>
      </c>
      <c r="C10" s="29">
        <f t="shared" si="3"/>
        <v>8.3333333333333329E-2</v>
      </c>
      <c r="D10" s="29">
        <f t="shared" si="3"/>
        <v>0.11666666666666667</v>
      </c>
      <c r="E10" s="30">
        <f t="shared" si="3"/>
        <v>0.16666666666666666</v>
      </c>
      <c r="F10" s="29">
        <f t="shared" si="3"/>
        <v>0.25</v>
      </c>
      <c r="G10" s="29">
        <f t="shared" si="3"/>
        <v>0.41666666666666669</v>
      </c>
      <c r="H10" s="29">
        <f t="shared" si="3"/>
        <v>0.91666666666666674</v>
      </c>
      <c r="I10" s="28"/>
      <c r="J10" s="31"/>
    </row>
    <row r="11" spans="1:10" x14ac:dyDescent="0.3">
      <c r="A11" s="26" t="s">
        <v>27</v>
      </c>
      <c r="B11" s="29">
        <f t="shared" ref="B11:H11" si="4">B10+1/B4</f>
        <v>0.14285714285714285</v>
      </c>
      <c r="C11" s="29">
        <f t="shared" si="4"/>
        <v>0.16666666666666666</v>
      </c>
      <c r="D11" s="29">
        <f t="shared" si="4"/>
        <v>0.2</v>
      </c>
      <c r="E11" s="30">
        <f t="shared" si="4"/>
        <v>0.25</v>
      </c>
      <c r="F11" s="29">
        <f t="shared" si="4"/>
        <v>0.33333333333333331</v>
      </c>
      <c r="G11" s="29">
        <f t="shared" si="4"/>
        <v>0.5</v>
      </c>
      <c r="H11" s="29">
        <f t="shared" si="4"/>
        <v>1</v>
      </c>
      <c r="I11" s="28"/>
      <c r="J11" s="31"/>
    </row>
    <row r="12" spans="1:10" x14ac:dyDescent="0.3">
      <c r="A12" s="26" t="s">
        <v>39</v>
      </c>
      <c r="B12" s="29">
        <f t="shared" ref="B12:H12" si="5">B3/B4</f>
        <v>0.41666666666666669</v>
      </c>
      <c r="C12" s="29">
        <f t="shared" si="5"/>
        <v>0.5</v>
      </c>
      <c r="D12" s="29">
        <f t="shared" si="5"/>
        <v>0.58333333333333337</v>
      </c>
      <c r="E12" s="30">
        <f t="shared" si="5"/>
        <v>0.66666666666666663</v>
      </c>
      <c r="F12" s="29">
        <f t="shared" si="5"/>
        <v>0.75</v>
      </c>
      <c r="G12" s="29">
        <f t="shared" si="5"/>
        <v>0.83333333333333337</v>
      </c>
      <c r="H12" s="29">
        <f t="shared" si="5"/>
        <v>0.91666666666666663</v>
      </c>
      <c r="I12" s="28"/>
      <c r="J12" s="31"/>
    </row>
    <row r="13" spans="1:10" x14ac:dyDescent="0.3">
      <c r="A13" s="26" t="s">
        <v>29</v>
      </c>
      <c r="B13" s="29">
        <f t="shared" ref="B13:H13" si="6">(B3/B4)^B5*B7</f>
        <v>3.052455516618085E-3</v>
      </c>
      <c r="C13" s="29">
        <f t="shared" si="6"/>
        <v>7.8125E-3</v>
      </c>
      <c r="D13" s="29">
        <f t="shared" si="6"/>
        <v>1.6416838357696056E-2</v>
      </c>
      <c r="E13" s="30">
        <f t="shared" si="6"/>
        <v>2.9263831732967538E-2</v>
      </c>
      <c r="F13" s="29">
        <f t="shared" si="6"/>
        <v>4.449462890625E-2</v>
      </c>
      <c r="G13" s="29">
        <f t="shared" si="6"/>
        <v>5.5816329446730692E-2</v>
      </c>
      <c r="H13" s="29">
        <f t="shared" si="6"/>
        <v>4.9441016205489824E-2</v>
      </c>
      <c r="I13" s="28"/>
      <c r="J13" s="31"/>
    </row>
    <row r="14" spans="1:10" x14ac:dyDescent="0.3">
      <c r="A14" s="32" t="s">
        <v>35</v>
      </c>
      <c r="B14" s="29">
        <f t="shared" ref="B14:H14" si="7">B3/B4</f>
        <v>0.41666666666666669</v>
      </c>
      <c r="C14" s="29">
        <f t="shared" si="7"/>
        <v>0.5</v>
      </c>
      <c r="D14" s="29">
        <f t="shared" si="7"/>
        <v>0.58333333333333337</v>
      </c>
      <c r="E14" s="30">
        <f t="shared" si="7"/>
        <v>0.66666666666666663</v>
      </c>
      <c r="F14" s="29">
        <f t="shared" si="7"/>
        <v>0.75</v>
      </c>
      <c r="G14" s="29">
        <f t="shared" si="7"/>
        <v>0.83333333333333337</v>
      </c>
      <c r="H14" s="29">
        <f t="shared" si="7"/>
        <v>0.91666666666666663</v>
      </c>
      <c r="I14" s="28"/>
      <c r="J14" s="31"/>
    </row>
    <row r="15" spans="1:10" x14ac:dyDescent="0.3">
      <c r="D15" s="31"/>
      <c r="G15" s="28"/>
      <c r="H15" s="28"/>
      <c r="I15" s="28"/>
      <c r="J15" s="31"/>
    </row>
    <row r="16" spans="1:10" x14ac:dyDescent="0.3">
      <c r="D16" s="31"/>
      <c r="G16" s="28"/>
      <c r="H16" s="28"/>
      <c r="I16" s="28"/>
      <c r="J16" s="31"/>
    </row>
    <row r="17" spans="4:10" x14ac:dyDescent="0.3">
      <c r="D17" s="31"/>
      <c r="G17" s="28"/>
      <c r="H17" s="28"/>
      <c r="I17" s="28"/>
      <c r="J17" s="31"/>
    </row>
    <row r="18" spans="4:10" x14ac:dyDescent="0.3">
      <c r="D18" s="31"/>
      <c r="G18" s="28"/>
      <c r="H18" s="28"/>
      <c r="I18" s="28"/>
      <c r="J18" s="31"/>
    </row>
    <row r="19" spans="4:10" x14ac:dyDescent="0.3">
      <c r="D19" s="31"/>
      <c r="G19" s="28"/>
      <c r="H19" s="28"/>
      <c r="I19" s="28"/>
      <c r="J19" s="31"/>
    </row>
    <row r="20" spans="4:10" x14ac:dyDescent="0.3">
      <c r="D20" s="31"/>
      <c r="G20" s="28"/>
      <c r="H20" s="28"/>
      <c r="I20" s="28"/>
      <c r="J20" s="31"/>
    </row>
    <row r="21" spans="4:10" x14ac:dyDescent="0.3">
      <c r="D21" s="31"/>
      <c r="G21" s="28"/>
      <c r="H21" s="28"/>
      <c r="I21" s="28"/>
      <c r="J21" s="31"/>
    </row>
    <row r="22" spans="4:10" x14ac:dyDescent="0.3">
      <c r="G22" s="28"/>
      <c r="H22" s="28"/>
      <c r="I22" s="28"/>
      <c r="J22" s="31"/>
    </row>
    <row r="23" spans="4:10" x14ac:dyDescent="0.3">
      <c r="G23" s="28"/>
      <c r="H23" s="28"/>
      <c r="I23" s="28"/>
      <c r="J23" s="31"/>
    </row>
    <row r="24" spans="4:10" x14ac:dyDescent="0.3">
      <c r="G24" s="28"/>
      <c r="H24" s="28"/>
      <c r="I24" s="28"/>
      <c r="J24" s="31"/>
    </row>
    <row r="25" spans="4:10" x14ac:dyDescent="0.3">
      <c r="G25" s="28"/>
      <c r="H25" s="28"/>
      <c r="I25" s="28"/>
      <c r="J25" s="31"/>
    </row>
    <row r="26" spans="4:10" x14ac:dyDescent="0.3">
      <c r="G26" s="28"/>
      <c r="H26" s="28"/>
      <c r="I26" s="28"/>
      <c r="J26" s="31"/>
    </row>
    <row r="27" spans="4:10" x14ac:dyDescent="0.3">
      <c r="G27" s="28"/>
      <c r="H27" s="28"/>
      <c r="I27" s="28"/>
      <c r="J27" s="31"/>
    </row>
    <row r="28" spans="4:10" x14ac:dyDescent="0.3">
      <c r="G28" s="28"/>
      <c r="H28" s="28"/>
      <c r="I28" s="28"/>
      <c r="J28" s="31"/>
    </row>
    <row r="29" spans="4:10" x14ac:dyDescent="0.3">
      <c r="G29" s="28"/>
      <c r="H29" s="28"/>
      <c r="I29" s="28"/>
      <c r="J29" s="31"/>
    </row>
    <row r="30" spans="4:10" x14ac:dyDescent="0.3">
      <c r="G30" s="28"/>
      <c r="H30" s="28"/>
      <c r="I30" s="28"/>
      <c r="J30" s="31"/>
    </row>
    <row r="31" spans="4:10" x14ac:dyDescent="0.3">
      <c r="G31" s="28"/>
      <c r="H31" s="28"/>
      <c r="I31" s="28"/>
      <c r="J31" s="31"/>
    </row>
    <row r="32" spans="4:10" x14ac:dyDescent="0.3">
      <c r="G32" s="28"/>
      <c r="H32" s="28"/>
      <c r="I32" s="28"/>
      <c r="J32" s="31"/>
    </row>
    <row r="33" spans="7:10" x14ac:dyDescent="0.3">
      <c r="G33" s="28"/>
      <c r="H33" s="28"/>
      <c r="I33" s="28"/>
      <c r="J33" s="31"/>
    </row>
    <row r="34" spans="7:10" x14ac:dyDescent="0.3">
      <c r="G34" s="28"/>
      <c r="H34" s="28"/>
      <c r="I34" s="28"/>
      <c r="J34" s="31"/>
    </row>
    <row r="35" spans="7:10" x14ac:dyDescent="0.3">
      <c r="G35" s="28"/>
      <c r="H35" s="28"/>
      <c r="I35" s="28"/>
      <c r="J35" s="31"/>
    </row>
    <row r="36" spans="7:10" x14ac:dyDescent="0.3">
      <c r="G36" s="28"/>
      <c r="H36" s="28"/>
      <c r="I36" s="28"/>
      <c r="J36" s="31"/>
    </row>
    <row r="37" spans="7:10" x14ac:dyDescent="0.3">
      <c r="G37" s="28"/>
      <c r="H37" s="28"/>
      <c r="I37" s="28"/>
      <c r="J37" s="31"/>
    </row>
    <row r="38" spans="7:10" x14ac:dyDescent="0.3">
      <c r="G38" s="28"/>
      <c r="H38" s="28"/>
      <c r="I38" s="28"/>
      <c r="J38" s="31"/>
    </row>
    <row r="39" spans="7:10" x14ac:dyDescent="0.3">
      <c r="G39" s="28"/>
      <c r="H39" s="28"/>
      <c r="I39" s="28"/>
      <c r="J39" s="31"/>
    </row>
    <row r="40" spans="7:10" x14ac:dyDescent="0.3">
      <c r="G40" s="28"/>
      <c r="H40" s="28"/>
      <c r="I40" s="28"/>
      <c r="J40" s="31"/>
    </row>
    <row r="41" spans="7:10" x14ac:dyDescent="0.3">
      <c r="G41" s="28"/>
      <c r="H41" s="28"/>
      <c r="I41" s="28"/>
      <c r="J41" s="31"/>
    </row>
    <row r="42" spans="7:10" x14ac:dyDescent="0.3">
      <c r="G42" s="28"/>
      <c r="H42" s="28"/>
      <c r="I42" s="28"/>
      <c r="J42" s="31"/>
    </row>
    <row r="43" spans="7:10" x14ac:dyDescent="0.3">
      <c r="G43" s="28"/>
      <c r="H43" s="28"/>
      <c r="I43" s="28"/>
      <c r="J43" s="31"/>
    </row>
    <row r="44" spans="7:10" x14ac:dyDescent="0.3">
      <c r="G44" s="28"/>
      <c r="H44" s="28"/>
      <c r="I44" s="28"/>
      <c r="J44" s="31"/>
    </row>
    <row r="45" spans="7:10" x14ac:dyDescent="0.3">
      <c r="G45" s="28"/>
      <c r="H45" s="28"/>
      <c r="I45" s="28"/>
      <c r="J45" s="31"/>
    </row>
    <row r="46" spans="7:10" x14ac:dyDescent="0.3">
      <c r="G46" s="28"/>
      <c r="H46" s="28"/>
      <c r="I46" s="28"/>
      <c r="J46" s="31"/>
    </row>
    <row r="47" spans="7:10" x14ac:dyDescent="0.3">
      <c r="G47" s="28"/>
      <c r="H47" s="28"/>
      <c r="I47" s="28"/>
      <c r="J47" s="31"/>
    </row>
    <row r="48" spans="7:10" x14ac:dyDescent="0.3">
      <c r="G48" s="28"/>
      <c r="H48" s="28"/>
      <c r="I48" s="28"/>
      <c r="J48" s="31"/>
    </row>
    <row r="49" spans="7:10" x14ac:dyDescent="0.3">
      <c r="G49" s="28"/>
      <c r="H49" s="28"/>
      <c r="I49" s="28"/>
      <c r="J49" s="31"/>
    </row>
    <row r="50" spans="7:10" x14ac:dyDescent="0.3">
      <c r="G50" s="28"/>
      <c r="H50" s="28"/>
      <c r="I50" s="28"/>
      <c r="J50" s="31"/>
    </row>
    <row r="51" spans="7:10" x14ac:dyDescent="0.3">
      <c r="G51" s="28"/>
      <c r="H51" s="28"/>
      <c r="I51" s="28"/>
      <c r="J51" s="31"/>
    </row>
    <row r="52" spans="7:10" x14ac:dyDescent="0.3">
      <c r="G52" s="28"/>
      <c r="H52" s="28"/>
      <c r="I52" s="28"/>
      <c r="J52" s="31"/>
    </row>
    <row r="53" spans="7:10" x14ac:dyDescent="0.3">
      <c r="G53" s="28"/>
      <c r="H53" s="28"/>
      <c r="I53" s="28"/>
      <c r="J53" s="31"/>
    </row>
    <row r="54" spans="7:10" x14ac:dyDescent="0.3">
      <c r="G54" s="28"/>
      <c r="H54" s="28"/>
      <c r="I54" s="28"/>
      <c r="J54" s="31"/>
    </row>
    <row r="55" spans="7:10" x14ac:dyDescent="0.3">
      <c r="G55" s="28"/>
      <c r="H55" s="28"/>
      <c r="I55" s="28"/>
      <c r="J55" s="31"/>
    </row>
    <row r="56" spans="7:10" x14ac:dyDescent="0.3">
      <c r="G56" s="28"/>
      <c r="H56" s="28"/>
      <c r="I56" s="28"/>
      <c r="J56" s="31"/>
    </row>
    <row r="57" spans="7:10" x14ac:dyDescent="0.3">
      <c r="G57" s="28"/>
      <c r="H57" s="28"/>
      <c r="I57" s="28"/>
      <c r="J57" s="31"/>
    </row>
    <row r="58" spans="7:10" x14ac:dyDescent="0.3">
      <c r="G58" s="28"/>
      <c r="H58" s="28"/>
      <c r="I58" s="28"/>
      <c r="J58" s="31"/>
    </row>
    <row r="59" spans="7:10" x14ac:dyDescent="0.3">
      <c r="G59" s="28"/>
      <c r="H59" s="28"/>
      <c r="I59" s="28"/>
      <c r="J59" s="31"/>
    </row>
    <row r="60" spans="7:10" x14ac:dyDescent="0.3">
      <c r="G60" s="28"/>
      <c r="H60" s="28"/>
      <c r="I60" s="28"/>
      <c r="J60" s="31"/>
    </row>
    <row r="61" spans="7:10" x14ac:dyDescent="0.3">
      <c r="G61" s="28"/>
      <c r="H61" s="28"/>
      <c r="I61" s="28"/>
      <c r="J61" s="31"/>
    </row>
    <row r="62" spans="7:10" x14ac:dyDescent="0.3">
      <c r="G62" s="28"/>
      <c r="H62" s="28"/>
      <c r="I62" s="28"/>
      <c r="J62" s="31"/>
    </row>
    <row r="63" spans="7:10" x14ac:dyDescent="0.3">
      <c r="G63" s="28"/>
      <c r="H63" s="28"/>
      <c r="I63" s="28"/>
      <c r="J63" s="31"/>
    </row>
    <row r="64" spans="7:10" x14ac:dyDescent="0.3">
      <c r="G64" s="28"/>
      <c r="H64" s="28"/>
      <c r="I64" s="28"/>
      <c r="J64" s="31"/>
    </row>
    <row r="65" spans="7:10" x14ac:dyDescent="0.3">
      <c r="G65" s="28"/>
      <c r="H65" s="28"/>
      <c r="I65" s="28"/>
      <c r="J65" s="31"/>
    </row>
    <row r="66" spans="7:10" x14ac:dyDescent="0.3">
      <c r="G66" s="28"/>
      <c r="H66" s="28"/>
      <c r="I66" s="28"/>
      <c r="J66" s="31"/>
    </row>
    <row r="67" spans="7:10" x14ac:dyDescent="0.3">
      <c r="G67" s="28"/>
      <c r="H67" s="28"/>
      <c r="I67" s="28"/>
      <c r="J67" s="31"/>
    </row>
    <row r="68" spans="7:10" x14ac:dyDescent="0.3">
      <c r="G68" s="28"/>
      <c r="H68" s="28"/>
      <c r="I68" s="28"/>
      <c r="J68" s="31"/>
    </row>
    <row r="69" spans="7:10" x14ac:dyDescent="0.3">
      <c r="G69" s="28"/>
      <c r="H69" s="28"/>
      <c r="I69" s="28"/>
      <c r="J69" s="31"/>
    </row>
    <row r="70" spans="7:10" x14ac:dyDescent="0.3">
      <c r="G70" s="28"/>
      <c r="H70" s="28"/>
      <c r="I70" s="28"/>
      <c r="J70" s="31"/>
    </row>
    <row r="71" spans="7:10" x14ac:dyDescent="0.3">
      <c r="G71" s="28"/>
      <c r="H71" s="28"/>
      <c r="I71" s="28"/>
      <c r="J71" s="31"/>
    </row>
    <row r="72" spans="7:10" x14ac:dyDescent="0.3">
      <c r="G72" s="28"/>
      <c r="H72" s="28"/>
      <c r="I72" s="28"/>
      <c r="J72" s="31"/>
    </row>
    <row r="73" spans="7:10" x14ac:dyDescent="0.3">
      <c r="G73" s="28"/>
      <c r="H73" s="28"/>
      <c r="I73" s="28"/>
      <c r="J73" s="31"/>
    </row>
    <row r="74" spans="7:10" x14ac:dyDescent="0.3">
      <c r="G74" s="28"/>
      <c r="H74" s="28"/>
      <c r="I74" s="28"/>
      <c r="J74" s="31"/>
    </row>
    <row r="75" spans="7:10" x14ac:dyDescent="0.3">
      <c r="G75" s="28"/>
      <c r="H75" s="28"/>
      <c r="I75" s="28"/>
      <c r="J75" s="31"/>
    </row>
    <row r="76" spans="7:10" x14ac:dyDescent="0.3">
      <c r="G76" s="28"/>
      <c r="H76" s="28"/>
      <c r="I76" s="28"/>
      <c r="J76" s="31"/>
    </row>
    <row r="77" spans="7:10" x14ac:dyDescent="0.3">
      <c r="G77" s="28"/>
      <c r="H77" s="28"/>
      <c r="I77" s="28"/>
      <c r="J77" s="31"/>
    </row>
    <row r="78" spans="7:10" x14ac:dyDescent="0.3">
      <c r="G78" s="28"/>
      <c r="H78" s="28"/>
      <c r="I78" s="28"/>
      <c r="J78" s="31"/>
    </row>
    <row r="79" spans="7:10" x14ac:dyDescent="0.3">
      <c r="G79" s="28"/>
      <c r="H79" s="28"/>
      <c r="I79" s="28"/>
      <c r="J79" s="31"/>
    </row>
    <row r="80" spans="7:10" x14ac:dyDescent="0.3">
      <c r="G80" s="28"/>
      <c r="H80" s="28"/>
      <c r="I80" s="28"/>
      <c r="J80" s="31"/>
    </row>
    <row r="81" spans="7:10" x14ac:dyDescent="0.3">
      <c r="G81" s="28"/>
      <c r="H81" s="28"/>
      <c r="I81" s="28"/>
      <c r="J81" s="31"/>
    </row>
    <row r="82" spans="7:10" x14ac:dyDescent="0.3">
      <c r="G82" s="28"/>
      <c r="H82" s="28"/>
      <c r="I82" s="28"/>
      <c r="J82" s="31"/>
    </row>
    <row r="83" spans="7:10" x14ac:dyDescent="0.3">
      <c r="G83" s="28"/>
      <c r="H83" s="28"/>
      <c r="I83" s="28"/>
      <c r="J83" s="31"/>
    </row>
    <row r="84" spans="7:10" x14ac:dyDescent="0.3">
      <c r="G84" s="28"/>
      <c r="H84" s="28"/>
      <c r="I84" s="28"/>
      <c r="J84" s="31"/>
    </row>
    <row r="85" spans="7:10" x14ac:dyDescent="0.3">
      <c r="G85" s="28"/>
      <c r="H85" s="28"/>
      <c r="I85" s="28"/>
      <c r="J85" s="31"/>
    </row>
    <row r="86" spans="7:10" x14ac:dyDescent="0.3">
      <c r="G86" s="28"/>
      <c r="H86" s="28"/>
      <c r="I86" s="28"/>
      <c r="J86" s="31"/>
    </row>
    <row r="87" spans="7:10" x14ac:dyDescent="0.3">
      <c r="G87" s="28"/>
      <c r="H87" s="28"/>
      <c r="I87" s="28"/>
      <c r="J87" s="31"/>
    </row>
    <row r="88" spans="7:10" x14ac:dyDescent="0.3">
      <c r="G88" s="28"/>
      <c r="H88" s="28"/>
      <c r="I88" s="28"/>
      <c r="J88" s="31"/>
    </row>
    <row r="89" spans="7:10" x14ac:dyDescent="0.3">
      <c r="G89" s="28"/>
      <c r="H89" s="28"/>
      <c r="I89" s="28"/>
      <c r="J89" s="31"/>
    </row>
    <row r="90" spans="7:10" x14ac:dyDescent="0.3">
      <c r="G90" s="28"/>
      <c r="H90" s="28"/>
      <c r="I90" s="28"/>
      <c r="J90" s="31"/>
    </row>
    <row r="91" spans="7:10" x14ac:dyDescent="0.3">
      <c r="G91" s="28"/>
      <c r="H91" s="28"/>
      <c r="I91" s="28"/>
      <c r="J91" s="31"/>
    </row>
    <row r="92" spans="7:10" x14ac:dyDescent="0.3">
      <c r="G92" s="28"/>
      <c r="H92" s="28"/>
      <c r="I92" s="28"/>
      <c r="J92" s="31"/>
    </row>
    <row r="93" spans="7:10" x14ac:dyDescent="0.3">
      <c r="G93" s="28"/>
      <c r="H93" s="28"/>
      <c r="I93" s="28"/>
      <c r="J93" s="31"/>
    </row>
    <row r="94" spans="7:10" x14ac:dyDescent="0.3">
      <c r="G94" s="28"/>
      <c r="H94" s="28"/>
      <c r="I94" s="28"/>
      <c r="J94" s="31"/>
    </row>
    <row r="95" spans="7:10" x14ac:dyDescent="0.3">
      <c r="G95" s="28"/>
      <c r="H95" s="28"/>
      <c r="I95" s="28"/>
      <c r="J95" s="31"/>
    </row>
    <row r="96" spans="7:10" x14ac:dyDescent="0.3">
      <c r="G96" s="28"/>
      <c r="H96" s="28"/>
      <c r="I96" s="28"/>
      <c r="J96" s="31"/>
    </row>
    <row r="97" spans="7:10" x14ac:dyDescent="0.3">
      <c r="G97" s="28"/>
      <c r="H97" s="28"/>
      <c r="I97" s="28"/>
      <c r="J97" s="31"/>
    </row>
    <row r="98" spans="7:10" x14ac:dyDescent="0.3">
      <c r="G98" s="28"/>
      <c r="H98" s="28"/>
      <c r="I98" s="28"/>
      <c r="J98" s="31"/>
    </row>
    <row r="99" spans="7:10" x14ac:dyDescent="0.3">
      <c r="G99" s="28"/>
      <c r="H99" s="28"/>
      <c r="I99" s="28"/>
      <c r="J99" s="31"/>
    </row>
    <row r="100" spans="7:10" x14ac:dyDescent="0.3">
      <c r="G100" s="28"/>
      <c r="H100" s="28"/>
      <c r="I100" s="28"/>
      <c r="J100" s="31"/>
    </row>
    <row r="101" spans="7:10" x14ac:dyDescent="0.3">
      <c r="G101" s="28"/>
      <c r="H101" s="28"/>
      <c r="I101" s="28"/>
      <c r="J101" s="31"/>
    </row>
    <row r="102" spans="7:10" x14ac:dyDescent="0.3">
      <c r="G102" s="28"/>
      <c r="H102" s="28"/>
      <c r="I102" s="28"/>
      <c r="J102" s="31"/>
    </row>
    <row r="103" spans="7:10" x14ac:dyDescent="0.3">
      <c r="G103" s="28"/>
      <c r="H103" s="28"/>
      <c r="I103" s="28"/>
      <c r="J103" s="31"/>
    </row>
    <row r="104" spans="7:10" x14ac:dyDescent="0.3">
      <c r="G104" s="28"/>
      <c r="H104" s="28"/>
      <c r="I104" s="28"/>
      <c r="J104" s="31"/>
    </row>
    <row r="105" spans="7:10" x14ac:dyDescent="0.3">
      <c r="G105" s="28"/>
      <c r="H105" s="28"/>
      <c r="I105" s="28"/>
      <c r="J105" s="31"/>
    </row>
    <row r="106" spans="7:10" x14ac:dyDescent="0.3">
      <c r="G106" s="28"/>
      <c r="H106" s="28"/>
      <c r="I106" s="28"/>
      <c r="J106" s="31"/>
    </row>
    <row r="107" spans="7:10" x14ac:dyDescent="0.3">
      <c r="G107" s="28"/>
      <c r="H107" s="28"/>
      <c r="I107" s="28"/>
      <c r="J107" s="31"/>
    </row>
    <row r="108" spans="7:10" x14ac:dyDescent="0.3">
      <c r="G108" s="28"/>
      <c r="H108" s="28"/>
      <c r="I108" s="28"/>
      <c r="J108" s="31"/>
    </row>
    <row r="109" spans="7:10" x14ac:dyDescent="0.3">
      <c r="G109" s="28"/>
      <c r="H109" s="28"/>
      <c r="I109" s="28"/>
      <c r="J109" s="31"/>
    </row>
    <row r="110" spans="7:10" x14ac:dyDescent="0.3">
      <c r="G110" s="28"/>
      <c r="H110" s="28"/>
      <c r="I110" s="28"/>
      <c r="J110" s="31"/>
    </row>
    <row r="111" spans="7:10" x14ac:dyDescent="0.3">
      <c r="G111" s="28"/>
      <c r="H111" s="28"/>
      <c r="I111" s="28"/>
      <c r="J111" s="31"/>
    </row>
    <row r="112" spans="7:10" x14ac:dyDescent="0.3">
      <c r="G112" s="28"/>
      <c r="H112" s="28"/>
      <c r="I112" s="28"/>
      <c r="J112" s="31"/>
    </row>
    <row r="113" spans="7:10" x14ac:dyDescent="0.3">
      <c r="G113" s="28"/>
      <c r="H113" s="28"/>
      <c r="I113" s="28"/>
      <c r="J113" s="31"/>
    </row>
    <row r="114" spans="7:10" x14ac:dyDescent="0.3">
      <c r="G114" s="28"/>
      <c r="H114" s="28"/>
      <c r="I114" s="28"/>
      <c r="J114" s="31"/>
    </row>
    <row r="115" spans="7:10" x14ac:dyDescent="0.3">
      <c r="G115" s="28"/>
      <c r="H115" s="28"/>
      <c r="I115" s="28"/>
      <c r="J115" s="31"/>
    </row>
    <row r="116" spans="7:10" x14ac:dyDescent="0.3">
      <c r="G116" s="28"/>
      <c r="H116" s="28"/>
      <c r="I116" s="28"/>
      <c r="J116" s="31"/>
    </row>
    <row r="117" spans="7:10" x14ac:dyDescent="0.3">
      <c r="G117" s="28"/>
      <c r="H117" s="28"/>
      <c r="I117" s="28"/>
      <c r="J117" s="31"/>
    </row>
    <row r="118" spans="7:10" x14ac:dyDescent="0.3">
      <c r="G118" s="28"/>
      <c r="H118" s="28"/>
      <c r="I118" s="28"/>
      <c r="J118" s="31"/>
    </row>
    <row r="119" spans="7:10" x14ac:dyDescent="0.3">
      <c r="G119" s="28"/>
      <c r="H119" s="28"/>
      <c r="I119" s="28"/>
      <c r="J119" s="31"/>
    </row>
    <row r="120" spans="7:10" x14ac:dyDescent="0.3">
      <c r="G120" s="28"/>
      <c r="H120" s="28"/>
      <c r="I120" s="28"/>
      <c r="J120" s="31"/>
    </row>
    <row r="121" spans="7:10" x14ac:dyDescent="0.3">
      <c r="G121" s="28"/>
      <c r="H121" s="28"/>
      <c r="I121" s="28"/>
      <c r="J121" s="31"/>
    </row>
    <row r="122" spans="7:10" x14ac:dyDescent="0.3">
      <c r="G122" s="28"/>
      <c r="H122" s="28"/>
      <c r="I122" s="28"/>
      <c r="J122" s="31"/>
    </row>
    <row r="123" spans="7:10" x14ac:dyDescent="0.3">
      <c r="G123" s="28"/>
      <c r="H123" s="28"/>
      <c r="I123" s="28"/>
      <c r="J123" s="31"/>
    </row>
    <row r="124" spans="7:10" x14ac:dyDescent="0.3">
      <c r="G124" s="28"/>
      <c r="H124" s="28"/>
      <c r="I124" s="28"/>
      <c r="J124" s="31"/>
    </row>
    <row r="125" spans="7:10" x14ac:dyDescent="0.3">
      <c r="G125" s="28"/>
      <c r="H125" s="28"/>
      <c r="I125" s="28"/>
      <c r="J125" s="31"/>
    </row>
    <row r="126" spans="7:10" x14ac:dyDescent="0.3">
      <c r="G126" s="28"/>
      <c r="H126" s="28"/>
      <c r="I126" s="28"/>
      <c r="J126" s="31"/>
    </row>
    <row r="127" spans="7:10" x14ac:dyDescent="0.3">
      <c r="G127" s="28"/>
      <c r="H127" s="28"/>
      <c r="I127" s="28"/>
      <c r="J127" s="31"/>
    </row>
    <row r="128" spans="7:10" x14ac:dyDescent="0.3">
      <c r="G128" s="28"/>
      <c r="H128" s="28"/>
      <c r="I128" s="28"/>
      <c r="J128" s="31"/>
    </row>
    <row r="129" spans="7:10" x14ac:dyDescent="0.3">
      <c r="G129" s="28"/>
      <c r="H129" s="28"/>
      <c r="I129" s="28"/>
      <c r="J129" s="31"/>
    </row>
    <row r="130" spans="7:10" x14ac:dyDescent="0.3">
      <c r="G130" s="28"/>
      <c r="H130" s="28"/>
      <c r="I130" s="28"/>
      <c r="J130" s="31"/>
    </row>
    <row r="131" spans="7:10" x14ac:dyDescent="0.3">
      <c r="G131" s="28"/>
      <c r="H131" s="28"/>
      <c r="I131" s="28"/>
      <c r="J131" s="31"/>
    </row>
    <row r="132" spans="7:10" x14ac:dyDescent="0.3">
      <c r="G132" s="28"/>
      <c r="H132" s="28"/>
      <c r="I132" s="28"/>
      <c r="J132" s="31"/>
    </row>
    <row r="133" spans="7:10" x14ac:dyDescent="0.3">
      <c r="G133" s="28"/>
      <c r="H133" s="28"/>
      <c r="I133" s="28"/>
      <c r="J133" s="31"/>
    </row>
    <row r="134" spans="7:10" x14ac:dyDescent="0.3">
      <c r="G134" s="28"/>
      <c r="H134" s="28"/>
      <c r="I134" s="28"/>
      <c r="J134" s="31"/>
    </row>
    <row r="135" spans="7:10" x14ac:dyDescent="0.3">
      <c r="G135" s="28"/>
      <c r="H135" s="28"/>
      <c r="I135" s="28"/>
      <c r="J135" s="31"/>
    </row>
    <row r="136" spans="7:10" x14ac:dyDescent="0.3">
      <c r="G136" s="28"/>
      <c r="H136" s="28"/>
      <c r="I136" s="28"/>
      <c r="J136" s="31"/>
    </row>
    <row r="137" spans="7:10" x14ac:dyDescent="0.3">
      <c r="G137" s="28"/>
      <c r="H137" s="28"/>
      <c r="I137" s="28"/>
      <c r="J137" s="31"/>
    </row>
    <row r="138" spans="7:10" x14ac:dyDescent="0.3">
      <c r="G138" s="28"/>
      <c r="H138" s="28"/>
      <c r="I138" s="28"/>
      <c r="J138" s="31"/>
    </row>
    <row r="139" spans="7:10" x14ac:dyDescent="0.3">
      <c r="G139" s="28"/>
      <c r="H139" s="28"/>
      <c r="I139" s="28"/>
      <c r="J139" s="31"/>
    </row>
    <row r="140" spans="7:10" x14ac:dyDescent="0.3">
      <c r="G140" s="28"/>
      <c r="H140" s="28"/>
      <c r="I140" s="28"/>
      <c r="J140" s="31"/>
    </row>
    <row r="141" spans="7:10" x14ac:dyDescent="0.3">
      <c r="G141" s="28"/>
      <c r="H141" s="28"/>
      <c r="I141" s="28"/>
      <c r="J141" s="31"/>
    </row>
    <row r="142" spans="7:10" x14ac:dyDescent="0.3">
      <c r="G142" s="28"/>
      <c r="H142" s="28"/>
      <c r="I142" s="28"/>
      <c r="J142" s="31"/>
    </row>
    <row r="143" spans="7:10" x14ac:dyDescent="0.3">
      <c r="G143" s="28"/>
      <c r="H143" s="28"/>
      <c r="I143" s="28"/>
      <c r="J143" s="31"/>
    </row>
    <row r="144" spans="7:10" x14ac:dyDescent="0.3">
      <c r="G144" s="28"/>
      <c r="H144" s="28"/>
      <c r="I144" s="28"/>
      <c r="J144" s="31"/>
    </row>
    <row r="145" spans="7:10" x14ac:dyDescent="0.3">
      <c r="G145" s="28"/>
      <c r="H145" s="28"/>
      <c r="I145" s="28"/>
      <c r="J145" s="31"/>
    </row>
    <row r="146" spans="7:10" x14ac:dyDescent="0.3">
      <c r="G146" s="28"/>
      <c r="H146" s="28"/>
      <c r="I146" s="28"/>
      <c r="J146" s="31"/>
    </row>
    <row r="147" spans="7:10" x14ac:dyDescent="0.3">
      <c r="G147" s="28"/>
      <c r="H147" s="28"/>
      <c r="I147" s="28"/>
      <c r="J147" s="31"/>
    </row>
    <row r="148" spans="7:10" x14ac:dyDescent="0.3">
      <c r="G148" s="28"/>
      <c r="H148" s="28"/>
      <c r="I148" s="28"/>
      <c r="J148" s="31"/>
    </row>
    <row r="149" spans="7:10" x14ac:dyDescent="0.3">
      <c r="G149" s="28"/>
      <c r="H149" s="28"/>
      <c r="I149" s="28"/>
      <c r="J149" s="31"/>
    </row>
    <row r="150" spans="7:10" x14ac:dyDescent="0.3">
      <c r="G150" s="28"/>
      <c r="H150" s="28"/>
      <c r="I150" s="28"/>
      <c r="J150" s="31"/>
    </row>
    <row r="151" spans="7:10" x14ac:dyDescent="0.3">
      <c r="G151" s="28"/>
      <c r="H151" s="28"/>
      <c r="I151" s="28"/>
      <c r="J151" s="31"/>
    </row>
    <row r="152" spans="7:10" x14ac:dyDescent="0.3">
      <c r="G152" s="28"/>
      <c r="H152" s="28"/>
      <c r="I152" s="28"/>
      <c r="J152" s="31"/>
    </row>
    <row r="153" spans="7:10" x14ac:dyDescent="0.3">
      <c r="G153" s="28"/>
      <c r="H153" s="28"/>
      <c r="I153" s="28"/>
      <c r="J153" s="31"/>
    </row>
    <row r="154" spans="7:10" x14ac:dyDescent="0.3">
      <c r="G154" s="28"/>
      <c r="H154" s="28"/>
      <c r="I154" s="28"/>
      <c r="J154" s="31"/>
    </row>
    <row r="155" spans="7:10" x14ac:dyDescent="0.3">
      <c r="G155" s="28"/>
      <c r="H155" s="28"/>
      <c r="I155" s="28"/>
      <c r="J155" s="31"/>
    </row>
    <row r="156" spans="7:10" x14ac:dyDescent="0.3">
      <c r="G156" s="28"/>
      <c r="H156" s="28"/>
      <c r="I156" s="28"/>
      <c r="J156" s="31"/>
    </row>
    <row r="157" spans="7:10" x14ac:dyDescent="0.3">
      <c r="G157" s="28"/>
      <c r="H157" s="28"/>
      <c r="I157" s="28"/>
      <c r="J157" s="31"/>
    </row>
    <row r="158" spans="7:10" x14ac:dyDescent="0.3">
      <c r="G158" s="28"/>
      <c r="H158" s="28"/>
      <c r="I158" s="28"/>
      <c r="J158" s="31"/>
    </row>
    <row r="159" spans="7:10" x14ac:dyDescent="0.3">
      <c r="G159" s="28"/>
      <c r="H159" s="28"/>
      <c r="I159" s="28"/>
      <c r="J159" s="31"/>
    </row>
    <row r="160" spans="7:10" x14ac:dyDescent="0.3">
      <c r="G160" s="28"/>
      <c r="H160" s="28"/>
      <c r="I160" s="28"/>
      <c r="J160" s="31"/>
    </row>
    <row r="161" spans="7:10" x14ac:dyDescent="0.3">
      <c r="G161" s="28"/>
      <c r="H161" s="28"/>
      <c r="I161" s="28"/>
      <c r="J161" s="31"/>
    </row>
    <row r="162" spans="7:10" x14ac:dyDescent="0.3">
      <c r="G162" s="28"/>
      <c r="H162" s="28"/>
      <c r="I162" s="28"/>
      <c r="J162" s="31"/>
    </row>
    <row r="163" spans="7:10" x14ac:dyDescent="0.3">
      <c r="G163" s="28"/>
      <c r="H163" s="28"/>
      <c r="I163" s="28"/>
      <c r="J163" s="31"/>
    </row>
    <row r="164" spans="7:10" x14ac:dyDescent="0.3">
      <c r="G164" s="28"/>
      <c r="H164" s="28"/>
      <c r="I164" s="28"/>
      <c r="J164" s="31"/>
    </row>
    <row r="165" spans="7:10" x14ac:dyDescent="0.3">
      <c r="G165" s="28"/>
      <c r="H165" s="28"/>
      <c r="I165" s="28"/>
      <c r="J165" s="31"/>
    </row>
    <row r="166" spans="7:10" x14ac:dyDescent="0.3">
      <c r="G166" s="28"/>
      <c r="H166" s="28"/>
      <c r="I166" s="28"/>
      <c r="J166" s="31"/>
    </row>
    <row r="167" spans="7:10" x14ac:dyDescent="0.3">
      <c r="G167" s="28"/>
      <c r="H167" s="28"/>
      <c r="I167" s="28"/>
      <c r="J167" s="31"/>
    </row>
    <row r="168" spans="7:10" x14ac:dyDescent="0.3">
      <c r="G168" s="28"/>
      <c r="H168" s="28"/>
      <c r="I168" s="28"/>
      <c r="J168" s="31"/>
    </row>
    <row r="169" spans="7:10" x14ac:dyDescent="0.3">
      <c r="G169" s="28"/>
      <c r="H169" s="28"/>
      <c r="I169" s="28"/>
      <c r="J169" s="31"/>
    </row>
    <row r="170" spans="7:10" x14ac:dyDescent="0.3">
      <c r="G170" s="28"/>
      <c r="H170" s="28"/>
      <c r="I170" s="28"/>
      <c r="J170" s="31"/>
    </row>
    <row r="171" spans="7:10" x14ac:dyDescent="0.3">
      <c r="G171" s="28"/>
      <c r="H171" s="28"/>
      <c r="I171" s="28"/>
      <c r="J171" s="31"/>
    </row>
    <row r="172" spans="7:10" x14ac:dyDescent="0.3">
      <c r="G172" s="28"/>
      <c r="H172" s="28"/>
      <c r="I172" s="28"/>
      <c r="J172" s="31"/>
    </row>
    <row r="173" spans="7:10" x14ac:dyDescent="0.3">
      <c r="G173" s="28"/>
      <c r="H173" s="28"/>
      <c r="I173" s="28"/>
      <c r="J173" s="31"/>
    </row>
    <row r="174" spans="7:10" x14ac:dyDescent="0.3">
      <c r="G174" s="28"/>
      <c r="H174" s="28"/>
      <c r="I174" s="28"/>
      <c r="J174" s="31"/>
    </row>
    <row r="175" spans="7:10" x14ac:dyDescent="0.3">
      <c r="G175" s="28"/>
      <c r="H175" s="28"/>
      <c r="I175" s="28"/>
      <c r="J175" s="31"/>
    </row>
    <row r="176" spans="7:10" x14ac:dyDescent="0.3">
      <c r="G176" s="28"/>
      <c r="H176" s="28"/>
      <c r="I176" s="28"/>
      <c r="J176" s="31"/>
    </row>
    <row r="177" spans="7:10" x14ac:dyDescent="0.3">
      <c r="G177" s="28"/>
      <c r="H177" s="28"/>
      <c r="I177" s="28"/>
      <c r="J177" s="31"/>
    </row>
    <row r="178" spans="7:10" x14ac:dyDescent="0.3">
      <c r="G178" s="28"/>
      <c r="H178" s="28"/>
      <c r="I178" s="28"/>
      <c r="J178" s="31"/>
    </row>
    <row r="179" spans="7:10" x14ac:dyDescent="0.3">
      <c r="G179" s="28"/>
      <c r="H179" s="28"/>
      <c r="I179" s="28"/>
      <c r="J179" s="31"/>
    </row>
    <row r="180" spans="7:10" x14ac:dyDescent="0.3">
      <c r="G180" s="28"/>
      <c r="H180" s="28"/>
      <c r="I180" s="28"/>
      <c r="J180" s="31"/>
    </row>
    <row r="181" spans="7:10" x14ac:dyDescent="0.3">
      <c r="G181" s="28"/>
      <c r="H181" s="28"/>
      <c r="I181" s="28"/>
      <c r="J181" s="31"/>
    </row>
    <row r="182" spans="7:10" x14ac:dyDescent="0.3">
      <c r="G182" s="28"/>
      <c r="H182" s="28"/>
      <c r="I182" s="28"/>
      <c r="J182" s="31"/>
    </row>
    <row r="183" spans="7:10" x14ac:dyDescent="0.3">
      <c r="G183" s="28"/>
      <c r="H183" s="28"/>
      <c r="I183" s="28"/>
      <c r="J183" s="31"/>
    </row>
    <row r="184" spans="7:10" x14ac:dyDescent="0.3">
      <c r="G184" s="28"/>
      <c r="H184" s="28"/>
      <c r="I184" s="28"/>
      <c r="J184" s="31"/>
    </row>
    <row r="185" spans="7:10" x14ac:dyDescent="0.3">
      <c r="G185" s="28"/>
      <c r="H185" s="28"/>
      <c r="I185" s="28"/>
      <c r="J185" s="31"/>
    </row>
    <row r="186" spans="7:10" x14ac:dyDescent="0.3">
      <c r="G186" s="28"/>
      <c r="H186" s="28"/>
      <c r="I186" s="28"/>
      <c r="J186" s="31"/>
    </row>
    <row r="187" spans="7:10" x14ac:dyDescent="0.3">
      <c r="G187" s="28"/>
      <c r="H187" s="28"/>
      <c r="I187" s="28"/>
      <c r="J187" s="31"/>
    </row>
    <row r="188" spans="7:10" x14ac:dyDescent="0.3">
      <c r="G188" s="28"/>
      <c r="H188" s="28"/>
      <c r="I188" s="28"/>
      <c r="J188" s="31"/>
    </row>
    <row r="189" spans="7:10" x14ac:dyDescent="0.3">
      <c r="G189" s="28"/>
      <c r="H189" s="28"/>
      <c r="I189" s="28"/>
      <c r="J189" s="31"/>
    </row>
    <row r="190" spans="7:10" x14ac:dyDescent="0.3">
      <c r="G190" s="28"/>
      <c r="H190" s="28"/>
      <c r="I190" s="28"/>
      <c r="J190" s="31"/>
    </row>
    <row r="191" spans="7:10" x14ac:dyDescent="0.3">
      <c r="G191" s="28"/>
      <c r="H191" s="28"/>
      <c r="I191" s="28"/>
      <c r="J191" s="31"/>
    </row>
    <row r="192" spans="7:10" x14ac:dyDescent="0.3">
      <c r="G192" s="28"/>
      <c r="H192" s="28"/>
      <c r="I192" s="28"/>
      <c r="J192" s="31"/>
    </row>
    <row r="193" spans="7:10" x14ac:dyDescent="0.3">
      <c r="G193" s="28"/>
      <c r="H193" s="28"/>
      <c r="I193" s="28"/>
      <c r="J193" s="31"/>
    </row>
    <row r="194" spans="7:10" x14ac:dyDescent="0.3">
      <c r="G194" s="28"/>
      <c r="H194" s="28"/>
      <c r="I194" s="28"/>
      <c r="J194" s="31"/>
    </row>
    <row r="195" spans="7:10" x14ac:dyDescent="0.3">
      <c r="G195" s="28"/>
      <c r="H195" s="28"/>
      <c r="I195" s="28"/>
      <c r="J195" s="31"/>
    </row>
    <row r="196" spans="7:10" x14ac:dyDescent="0.3">
      <c r="G196" s="28"/>
      <c r="H196" s="28"/>
      <c r="I196" s="28"/>
      <c r="J196" s="31"/>
    </row>
    <row r="197" spans="7:10" x14ac:dyDescent="0.3">
      <c r="G197" s="28"/>
      <c r="H197" s="28"/>
      <c r="I197" s="28"/>
      <c r="J197" s="31"/>
    </row>
    <row r="198" spans="7:10" x14ac:dyDescent="0.3">
      <c r="G198" s="28"/>
      <c r="H198" s="28"/>
      <c r="I198" s="28"/>
      <c r="J198" s="31"/>
    </row>
    <row r="199" spans="7:10" x14ac:dyDescent="0.3">
      <c r="G199" s="28"/>
      <c r="H199" s="28"/>
      <c r="I199" s="28"/>
      <c r="J199" s="31"/>
    </row>
    <row r="200" spans="7:10" x14ac:dyDescent="0.3">
      <c r="G200" s="28"/>
      <c r="H200" s="28"/>
      <c r="I200" s="28"/>
      <c r="J200" s="31"/>
    </row>
    <row r="201" spans="7:10" x14ac:dyDescent="0.3">
      <c r="G201" s="28"/>
      <c r="H201" s="28"/>
      <c r="I201" s="28"/>
      <c r="J201" s="31"/>
    </row>
    <row r="202" spans="7:10" x14ac:dyDescent="0.3">
      <c r="G202" s="28"/>
      <c r="H202" s="28"/>
      <c r="I202" s="28"/>
      <c r="J202" s="31"/>
    </row>
    <row r="203" spans="7:10" x14ac:dyDescent="0.3">
      <c r="G203" s="28"/>
      <c r="H203" s="28"/>
      <c r="I203" s="28"/>
      <c r="J203" s="31"/>
    </row>
    <row r="204" spans="7:10" x14ac:dyDescent="0.3">
      <c r="G204" s="28"/>
      <c r="H204" s="28"/>
      <c r="I204" s="28"/>
      <c r="J204" s="31"/>
    </row>
    <row r="205" spans="7:10" x14ac:dyDescent="0.3">
      <c r="G205" s="28"/>
      <c r="H205" s="28"/>
      <c r="I205" s="28"/>
      <c r="J205" s="31"/>
    </row>
    <row r="206" spans="7:10" x14ac:dyDescent="0.3">
      <c r="G206" s="28"/>
      <c r="H206" s="28"/>
      <c r="I206" s="28"/>
      <c r="J206" s="31"/>
    </row>
    <row r="207" spans="7:10" x14ac:dyDescent="0.3">
      <c r="G207" s="28"/>
      <c r="H207" s="28"/>
      <c r="I207" s="28"/>
      <c r="J207" s="31"/>
    </row>
    <row r="208" spans="7:10" x14ac:dyDescent="0.3">
      <c r="G208" s="28"/>
      <c r="H208" s="28"/>
      <c r="I208" s="28"/>
      <c r="J208" s="31"/>
    </row>
    <row r="209" spans="7:10" x14ac:dyDescent="0.3">
      <c r="G209" s="28"/>
      <c r="H209" s="28"/>
      <c r="I209" s="28"/>
      <c r="J209" s="31"/>
    </row>
    <row r="210" spans="7:10" x14ac:dyDescent="0.3">
      <c r="G210" s="28"/>
      <c r="H210" s="28"/>
      <c r="I210" s="28"/>
      <c r="J210" s="31"/>
    </row>
    <row r="211" spans="7:10" x14ac:dyDescent="0.3">
      <c r="G211" s="28"/>
      <c r="H211" s="28"/>
      <c r="I211" s="28"/>
      <c r="J211" s="31"/>
    </row>
    <row r="212" spans="7:10" x14ac:dyDescent="0.3">
      <c r="G212" s="28"/>
      <c r="H212" s="28"/>
      <c r="I212" s="28"/>
      <c r="J212" s="31"/>
    </row>
    <row r="213" spans="7:10" x14ac:dyDescent="0.3">
      <c r="G213" s="28"/>
      <c r="H213" s="28"/>
      <c r="I213" s="28"/>
      <c r="J213" s="31"/>
    </row>
    <row r="214" spans="7:10" x14ac:dyDescent="0.3">
      <c r="G214" s="28"/>
      <c r="H214" s="28"/>
      <c r="I214" s="28"/>
      <c r="J214" s="31"/>
    </row>
    <row r="215" spans="7:10" x14ac:dyDescent="0.3">
      <c r="G215" s="28"/>
      <c r="H215" s="28"/>
      <c r="I215" s="28"/>
      <c r="J215" s="31"/>
    </row>
    <row r="216" spans="7:10" x14ac:dyDescent="0.3">
      <c r="G216" s="28"/>
      <c r="H216" s="28"/>
      <c r="I216" s="28"/>
      <c r="J216" s="31"/>
    </row>
    <row r="217" spans="7:10" x14ac:dyDescent="0.3">
      <c r="G217" s="28"/>
      <c r="H217" s="28"/>
      <c r="I217" s="28"/>
      <c r="J217" s="31"/>
    </row>
    <row r="218" spans="7:10" x14ac:dyDescent="0.3">
      <c r="G218" s="28"/>
      <c r="H218" s="28"/>
      <c r="I218" s="28"/>
      <c r="J218" s="31"/>
    </row>
    <row r="219" spans="7:10" x14ac:dyDescent="0.3">
      <c r="G219" s="28"/>
      <c r="H219" s="28"/>
      <c r="I219" s="28"/>
      <c r="J219" s="31"/>
    </row>
    <row r="220" spans="7:10" x14ac:dyDescent="0.3">
      <c r="G220" s="28"/>
      <c r="H220" s="28"/>
      <c r="I220" s="28"/>
      <c r="J220" s="31"/>
    </row>
    <row r="221" spans="7:10" x14ac:dyDescent="0.3">
      <c r="G221" s="28"/>
      <c r="H221" s="28"/>
      <c r="I221" s="28"/>
      <c r="J221" s="31"/>
    </row>
    <row r="222" spans="7:10" x14ac:dyDescent="0.3">
      <c r="G222" s="28"/>
      <c r="H222" s="28"/>
      <c r="I222" s="28"/>
      <c r="J222" s="31"/>
    </row>
    <row r="223" spans="7:10" x14ac:dyDescent="0.3">
      <c r="G223" s="28"/>
      <c r="H223" s="28"/>
      <c r="I223" s="28"/>
      <c r="J223" s="31"/>
    </row>
    <row r="224" spans="7:10" x14ac:dyDescent="0.3">
      <c r="G224" s="28"/>
      <c r="H224" s="28"/>
      <c r="I224" s="28"/>
      <c r="J224" s="31"/>
    </row>
    <row r="225" spans="7:10" x14ac:dyDescent="0.3">
      <c r="G225" s="28"/>
      <c r="H225" s="28"/>
      <c r="I225" s="28"/>
      <c r="J225" s="31"/>
    </row>
    <row r="226" spans="7:10" x14ac:dyDescent="0.3">
      <c r="G226" s="28"/>
      <c r="H226" s="28"/>
      <c r="I226" s="28"/>
      <c r="J226" s="31"/>
    </row>
    <row r="227" spans="7:10" x14ac:dyDescent="0.3">
      <c r="G227" s="28"/>
      <c r="H227" s="28"/>
      <c r="I227" s="28"/>
      <c r="J227" s="31"/>
    </row>
    <row r="228" spans="7:10" x14ac:dyDescent="0.3">
      <c r="G228" s="28"/>
      <c r="H228" s="28"/>
      <c r="I228" s="28"/>
      <c r="J228" s="31"/>
    </row>
    <row r="229" spans="7:10" x14ac:dyDescent="0.3">
      <c r="G229" s="28"/>
      <c r="H229" s="28"/>
      <c r="I229" s="28"/>
      <c r="J229" s="31"/>
    </row>
    <row r="230" spans="7:10" x14ac:dyDescent="0.3">
      <c r="G230" s="28"/>
      <c r="H230" s="28"/>
      <c r="I230" s="28"/>
      <c r="J230" s="31"/>
    </row>
    <row r="231" spans="7:10" x14ac:dyDescent="0.3">
      <c r="G231" s="28"/>
      <c r="H231" s="28"/>
      <c r="I231" s="28"/>
      <c r="J231" s="31"/>
    </row>
    <row r="232" spans="7:10" x14ac:dyDescent="0.3">
      <c r="G232" s="28"/>
      <c r="H232" s="28"/>
      <c r="I232" s="28"/>
      <c r="J232" s="31"/>
    </row>
    <row r="233" spans="7:10" x14ac:dyDescent="0.3">
      <c r="G233" s="28"/>
      <c r="H233" s="28"/>
      <c r="I233" s="28"/>
      <c r="J233" s="31"/>
    </row>
    <row r="234" spans="7:10" x14ac:dyDescent="0.3">
      <c r="G234" s="28"/>
      <c r="H234" s="28"/>
      <c r="I234" s="28"/>
      <c r="J234" s="31"/>
    </row>
    <row r="235" spans="7:10" x14ac:dyDescent="0.3">
      <c r="G235" s="28"/>
      <c r="H235" s="28"/>
      <c r="I235" s="28"/>
      <c r="J235" s="31"/>
    </row>
    <row r="236" spans="7:10" x14ac:dyDescent="0.3">
      <c r="G236" s="28"/>
      <c r="H236" s="28"/>
      <c r="I236" s="28"/>
      <c r="J236" s="31"/>
    </row>
    <row r="237" spans="7:10" x14ac:dyDescent="0.3">
      <c r="G237" s="28"/>
      <c r="H237" s="28"/>
      <c r="I237" s="28"/>
      <c r="J237" s="31"/>
    </row>
    <row r="238" spans="7:10" x14ac:dyDescent="0.3">
      <c r="G238" s="28"/>
      <c r="H238" s="28"/>
      <c r="I238" s="28"/>
      <c r="J238" s="31"/>
    </row>
    <row r="239" spans="7:10" x14ac:dyDescent="0.3">
      <c r="G239" s="28"/>
      <c r="H239" s="28"/>
      <c r="I239" s="28"/>
      <c r="J239" s="31"/>
    </row>
    <row r="240" spans="7:10" x14ac:dyDescent="0.3">
      <c r="G240" s="28"/>
      <c r="H240" s="28"/>
      <c r="I240" s="28"/>
      <c r="J240" s="31"/>
    </row>
    <row r="241" spans="7:10" x14ac:dyDescent="0.3">
      <c r="G241" s="28"/>
      <c r="H241" s="28"/>
      <c r="I241" s="28"/>
      <c r="J241" s="31"/>
    </row>
    <row r="242" spans="7:10" x14ac:dyDescent="0.3">
      <c r="G242" s="28"/>
      <c r="H242" s="28"/>
      <c r="I242" s="28"/>
      <c r="J242" s="31"/>
    </row>
    <row r="243" spans="7:10" x14ac:dyDescent="0.3">
      <c r="G243" s="28"/>
      <c r="H243" s="28"/>
      <c r="I243" s="28"/>
      <c r="J243" s="31"/>
    </row>
    <row r="244" spans="7:10" x14ac:dyDescent="0.3">
      <c r="G244" s="28"/>
      <c r="H244" s="28"/>
      <c r="I244" s="28"/>
      <c r="J244" s="31"/>
    </row>
    <row r="245" spans="7:10" x14ac:dyDescent="0.3">
      <c r="G245" s="28"/>
      <c r="H245" s="28"/>
      <c r="I245" s="28"/>
      <c r="J245" s="31"/>
    </row>
    <row r="246" spans="7:10" x14ac:dyDescent="0.3">
      <c r="G246" s="28"/>
      <c r="H246" s="28"/>
      <c r="I246" s="28"/>
      <c r="J246" s="31"/>
    </row>
    <row r="247" spans="7:10" x14ac:dyDescent="0.3">
      <c r="G247" s="28"/>
      <c r="H247" s="28"/>
      <c r="I247" s="28"/>
      <c r="J247" s="31"/>
    </row>
    <row r="248" spans="7:10" x14ac:dyDescent="0.3">
      <c r="G248" s="28"/>
      <c r="H248" s="28"/>
      <c r="I248" s="28"/>
      <c r="J248" s="31"/>
    </row>
    <row r="249" spans="7:10" x14ac:dyDescent="0.3">
      <c r="G249" s="28"/>
      <c r="H249" s="28"/>
      <c r="I249" s="28"/>
      <c r="J249" s="31"/>
    </row>
    <row r="250" spans="7:10" x14ac:dyDescent="0.3">
      <c r="G250" s="28"/>
      <c r="H250" s="28"/>
      <c r="I250" s="28"/>
      <c r="J250" s="31"/>
    </row>
    <row r="251" spans="7:10" x14ac:dyDescent="0.3">
      <c r="G251" s="28"/>
      <c r="H251" s="28"/>
      <c r="I251" s="28"/>
      <c r="J251" s="31"/>
    </row>
    <row r="252" spans="7:10" x14ac:dyDescent="0.3">
      <c r="G252" s="28"/>
      <c r="H252" s="28"/>
      <c r="I252" s="28"/>
      <c r="J252" s="31"/>
    </row>
    <row r="253" spans="7:10" x14ac:dyDescent="0.3">
      <c r="G253" s="28"/>
      <c r="H253" s="28"/>
      <c r="I253" s="28"/>
      <c r="J253" s="31"/>
    </row>
    <row r="254" spans="7:10" x14ac:dyDescent="0.3">
      <c r="G254" s="28"/>
      <c r="H254" s="28"/>
      <c r="I254" s="28"/>
      <c r="J254" s="31"/>
    </row>
    <row r="255" spans="7:10" x14ac:dyDescent="0.3">
      <c r="G255" s="28"/>
      <c r="H255" s="28"/>
      <c r="I255" s="28"/>
      <c r="J255" s="31"/>
    </row>
    <row r="256" spans="7:10" x14ac:dyDescent="0.3">
      <c r="G256" s="28"/>
      <c r="H256" s="28"/>
      <c r="I256" s="28"/>
      <c r="J256" s="31"/>
    </row>
    <row r="257" spans="7:10" x14ac:dyDescent="0.3">
      <c r="G257" s="28"/>
      <c r="H257" s="28"/>
      <c r="I257" s="28"/>
      <c r="J257" s="31"/>
    </row>
    <row r="258" spans="7:10" x14ac:dyDescent="0.3">
      <c r="G258" s="28"/>
      <c r="H258" s="28"/>
      <c r="I258" s="28"/>
      <c r="J258" s="31"/>
    </row>
    <row r="259" spans="7:10" x14ac:dyDescent="0.3">
      <c r="G259" s="28"/>
      <c r="H259" s="28"/>
      <c r="I259" s="28"/>
      <c r="J259" s="31"/>
    </row>
    <row r="260" spans="7:10" x14ac:dyDescent="0.3">
      <c r="G260" s="28"/>
      <c r="H260" s="28"/>
      <c r="I260" s="28"/>
      <c r="J260" s="31"/>
    </row>
    <row r="261" spans="7:10" x14ac:dyDescent="0.3">
      <c r="G261" s="28"/>
      <c r="H261" s="28"/>
      <c r="I261" s="28"/>
      <c r="J261" s="31"/>
    </row>
    <row r="262" spans="7:10" x14ac:dyDescent="0.3">
      <c r="G262" s="28"/>
      <c r="H262" s="28"/>
      <c r="I262" s="28"/>
      <c r="J262" s="31"/>
    </row>
    <row r="263" spans="7:10" x14ac:dyDescent="0.3">
      <c r="G263" s="28"/>
      <c r="H263" s="28"/>
      <c r="I263" s="28"/>
      <c r="J263" s="31"/>
    </row>
    <row r="264" spans="7:10" x14ac:dyDescent="0.3">
      <c r="G264" s="28"/>
      <c r="H264" s="28"/>
      <c r="I264" s="28"/>
      <c r="J264" s="31"/>
    </row>
    <row r="265" spans="7:10" x14ac:dyDescent="0.3">
      <c r="G265" s="28"/>
      <c r="H265" s="28"/>
      <c r="I265" s="28"/>
      <c r="J265" s="31"/>
    </row>
    <row r="266" spans="7:10" x14ac:dyDescent="0.3">
      <c r="G266" s="28"/>
      <c r="H266" s="28"/>
      <c r="I266" s="28"/>
      <c r="J266" s="31"/>
    </row>
    <row r="267" spans="7:10" x14ac:dyDescent="0.3">
      <c r="G267" s="28"/>
      <c r="H267" s="28"/>
      <c r="I267" s="28"/>
      <c r="J267" s="31"/>
    </row>
    <row r="268" spans="7:10" x14ac:dyDescent="0.3">
      <c r="G268" s="28"/>
      <c r="H268" s="28"/>
      <c r="I268" s="28"/>
      <c r="J268" s="31"/>
    </row>
    <row r="269" spans="7:10" x14ac:dyDescent="0.3">
      <c r="G269" s="28"/>
      <c r="H269" s="28"/>
      <c r="I269" s="28"/>
      <c r="J269" s="31"/>
    </row>
    <row r="270" spans="7:10" x14ac:dyDescent="0.3">
      <c r="G270" s="28"/>
      <c r="H270" s="28"/>
      <c r="I270" s="28"/>
      <c r="J270" s="31"/>
    </row>
    <row r="271" spans="7:10" x14ac:dyDescent="0.3">
      <c r="G271" s="28"/>
      <c r="H271" s="28"/>
      <c r="I271" s="28"/>
      <c r="J271" s="31"/>
    </row>
    <row r="272" spans="7:10" x14ac:dyDescent="0.3">
      <c r="G272" s="28"/>
      <c r="H272" s="28"/>
      <c r="I272" s="28"/>
      <c r="J272" s="31"/>
    </row>
    <row r="273" spans="7:10" x14ac:dyDescent="0.3">
      <c r="G273" s="28"/>
      <c r="H273" s="28"/>
      <c r="I273" s="28"/>
      <c r="J273" s="31"/>
    </row>
    <row r="274" spans="7:10" x14ac:dyDescent="0.3">
      <c r="G274" s="28"/>
      <c r="H274" s="28"/>
      <c r="I274" s="28"/>
      <c r="J274" s="31"/>
    </row>
    <row r="275" spans="7:10" x14ac:dyDescent="0.3">
      <c r="G275" s="28"/>
      <c r="H275" s="28"/>
      <c r="I275" s="28"/>
      <c r="J275" s="31"/>
    </row>
    <row r="276" spans="7:10" x14ac:dyDescent="0.3">
      <c r="G276" s="28"/>
      <c r="H276" s="28"/>
      <c r="I276" s="28"/>
      <c r="J276" s="31"/>
    </row>
    <row r="277" spans="7:10" x14ac:dyDescent="0.3">
      <c r="G277" s="28"/>
      <c r="H277" s="28"/>
      <c r="I277" s="28"/>
      <c r="J277" s="31"/>
    </row>
    <row r="278" spans="7:10" x14ac:dyDescent="0.3">
      <c r="G278" s="28"/>
      <c r="H278" s="28"/>
      <c r="I278" s="28"/>
      <c r="J278" s="31"/>
    </row>
    <row r="279" spans="7:10" x14ac:dyDescent="0.3">
      <c r="G279" s="28"/>
      <c r="H279" s="28"/>
      <c r="I279" s="28"/>
      <c r="J279" s="31"/>
    </row>
    <row r="280" spans="7:10" x14ac:dyDescent="0.3">
      <c r="G280" s="28"/>
      <c r="H280" s="28"/>
      <c r="I280" s="28"/>
      <c r="J280" s="31"/>
    </row>
    <row r="281" spans="7:10" x14ac:dyDescent="0.3">
      <c r="G281" s="28"/>
      <c r="H281" s="28"/>
      <c r="I281" s="28"/>
      <c r="J281" s="31"/>
    </row>
    <row r="282" spans="7:10" x14ac:dyDescent="0.3">
      <c r="G282" s="28"/>
      <c r="H282" s="28"/>
      <c r="I282" s="28"/>
      <c r="J282" s="31"/>
    </row>
    <row r="283" spans="7:10" x14ac:dyDescent="0.3">
      <c r="G283" s="28"/>
      <c r="H283" s="28"/>
      <c r="I283" s="28"/>
      <c r="J283" s="31"/>
    </row>
    <row r="284" spans="7:10" x14ac:dyDescent="0.3">
      <c r="G284" s="28"/>
      <c r="H284" s="28"/>
      <c r="I284" s="28"/>
      <c r="J284" s="31"/>
    </row>
    <row r="285" spans="7:10" x14ac:dyDescent="0.3">
      <c r="G285" s="28"/>
      <c r="H285" s="28"/>
      <c r="I285" s="28"/>
      <c r="J285" s="31"/>
    </row>
    <row r="286" spans="7:10" x14ac:dyDescent="0.3">
      <c r="G286" s="28"/>
      <c r="H286" s="28"/>
      <c r="I286" s="28"/>
      <c r="J286" s="31"/>
    </row>
    <row r="287" spans="7:10" x14ac:dyDescent="0.3">
      <c r="G287" s="28"/>
      <c r="H287" s="28"/>
      <c r="I287" s="28"/>
      <c r="J287" s="31"/>
    </row>
    <row r="288" spans="7:10" x14ac:dyDescent="0.3">
      <c r="G288" s="28"/>
      <c r="H288" s="28"/>
      <c r="I288" s="28"/>
      <c r="J288" s="31"/>
    </row>
    <row r="289" spans="7:10" x14ac:dyDescent="0.3">
      <c r="G289" s="28"/>
      <c r="H289" s="28"/>
      <c r="I289" s="28"/>
      <c r="J289" s="31"/>
    </row>
    <row r="290" spans="7:10" x14ac:dyDescent="0.3">
      <c r="G290" s="28"/>
      <c r="H290" s="28"/>
      <c r="I290" s="28"/>
      <c r="J290" s="31"/>
    </row>
    <row r="291" spans="7:10" x14ac:dyDescent="0.3">
      <c r="G291" s="28"/>
      <c r="H291" s="28"/>
      <c r="I291" s="28"/>
      <c r="J291" s="31"/>
    </row>
    <row r="292" spans="7:10" x14ac:dyDescent="0.3">
      <c r="G292" s="28"/>
      <c r="H292" s="28"/>
      <c r="I292" s="28"/>
      <c r="J292" s="31"/>
    </row>
    <row r="293" spans="7:10" x14ac:dyDescent="0.3">
      <c r="G293" s="28"/>
      <c r="H293" s="28"/>
      <c r="I293" s="28"/>
      <c r="J293" s="31"/>
    </row>
    <row r="294" spans="7:10" x14ac:dyDescent="0.3">
      <c r="G294" s="28"/>
      <c r="H294" s="28"/>
      <c r="I294" s="28"/>
      <c r="J294" s="31"/>
    </row>
    <row r="295" spans="7:10" x14ac:dyDescent="0.3">
      <c r="G295" s="28"/>
      <c r="H295" s="28"/>
      <c r="I295" s="28"/>
      <c r="J295" s="31"/>
    </row>
    <row r="296" spans="7:10" x14ac:dyDescent="0.3">
      <c r="G296" s="28"/>
      <c r="H296" s="28"/>
      <c r="I296" s="28"/>
      <c r="J296" s="31"/>
    </row>
    <row r="297" spans="7:10" x14ac:dyDescent="0.3">
      <c r="G297" s="28"/>
      <c r="H297" s="28"/>
      <c r="I297" s="28"/>
      <c r="J297" s="31"/>
    </row>
    <row r="298" spans="7:10" x14ac:dyDescent="0.3">
      <c r="G298" s="28"/>
      <c r="H298" s="28"/>
      <c r="I298" s="28"/>
      <c r="J298" s="31"/>
    </row>
    <row r="299" spans="7:10" x14ac:dyDescent="0.3">
      <c r="G299" s="28"/>
      <c r="H299" s="28"/>
      <c r="I299" s="28"/>
      <c r="J299" s="31"/>
    </row>
    <row r="300" spans="7:10" x14ac:dyDescent="0.3">
      <c r="G300" s="28"/>
      <c r="H300" s="28"/>
      <c r="I300" s="28"/>
      <c r="J300" s="31"/>
    </row>
    <row r="301" spans="7:10" x14ac:dyDescent="0.3">
      <c r="G301" s="28"/>
      <c r="H301" s="28"/>
      <c r="I301" s="28"/>
      <c r="J301" s="31"/>
    </row>
    <row r="302" spans="7:10" x14ac:dyDescent="0.3">
      <c r="G302" s="28"/>
      <c r="H302" s="28"/>
      <c r="I302" s="28"/>
      <c r="J302" s="31"/>
    </row>
    <row r="303" spans="7:10" x14ac:dyDescent="0.3">
      <c r="G303" s="28"/>
      <c r="H303" s="28"/>
      <c r="I303" s="28"/>
      <c r="J303" s="31"/>
    </row>
    <row r="304" spans="7:10" x14ac:dyDescent="0.3">
      <c r="G304" s="28"/>
      <c r="H304" s="28"/>
      <c r="I304" s="28"/>
      <c r="J304" s="31"/>
    </row>
    <row r="305" spans="7:10" x14ac:dyDescent="0.3">
      <c r="G305" s="28"/>
      <c r="H305" s="28"/>
      <c r="I305" s="28"/>
      <c r="J305" s="31"/>
    </row>
    <row r="306" spans="7:10" x14ac:dyDescent="0.3">
      <c r="G306" s="28"/>
      <c r="H306" s="28"/>
      <c r="I306" s="28"/>
      <c r="J306" s="31"/>
    </row>
    <row r="307" spans="7:10" x14ac:dyDescent="0.3">
      <c r="G307" s="28"/>
      <c r="H307" s="28"/>
      <c r="I307" s="28"/>
      <c r="J307" s="31"/>
    </row>
    <row r="308" spans="7:10" x14ac:dyDescent="0.3">
      <c r="G308" s="28"/>
      <c r="H308" s="28"/>
      <c r="I308" s="28"/>
      <c r="J308" s="31"/>
    </row>
    <row r="309" spans="7:10" x14ac:dyDescent="0.3">
      <c r="G309" s="28"/>
      <c r="H309" s="28"/>
      <c r="I309" s="28"/>
      <c r="J309" s="31"/>
    </row>
    <row r="310" spans="7:10" x14ac:dyDescent="0.3">
      <c r="G310" s="28"/>
      <c r="H310" s="28"/>
      <c r="I310" s="28"/>
      <c r="J310" s="31"/>
    </row>
    <row r="311" spans="7:10" x14ac:dyDescent="0.3">
      <c r="G311" s="28"/>
      <c r="H311" s="28"/>
      <c r="I311" s="28"/>
      <c r="J311" s="31"/>
    </row>
    <row r="312" spans="7:10" x14ac:dyDescent="0.3">
      <c r="G312" s="28"/>
      <c r="H312" s="28"/>
      <c r="I312" s="28"/>
      <c r="J312" s="31"/>
    </row>
    <row r="313" spans="7:10" x14ac:dyDescent="0.3">
      <c r="G313" s="28"/>
      <c r="H313" s="28"/>
      <c r="I313" s="28"/>
      <c r="J313" s="31"/>
    </row>
    <row r="314" spans="7:10" x14ac:dyDescent="0.3">
      <c r="G314" s="28"/>
      <c r="H314" s="28"/>
      <c r="I314" s="28"/>
      <c r="J314" s="31"/>
    </row>
    <row r="315" spans="7:10" x14ac:dyDescent="0.3">
      <c r="G315" s="28"/>
      <c r="H315" s="28"/>
      <c r="I315" s="28"/>
      <c r="J315" s="31"/>
    </row>
    <row r="316" spans="7:10" x14ac:dyDescent="0.3">
      <c r="G316" s="28"/>
      <c r="H316" s="28"/>
      <c r="I316" s="28"/>
      <c r="J316" s="31"/>
    </row>
    <row r="317" spans="7:10" x14ac:dyDescent="0.3">
      <c r="G317" s="28"/>
      <c r="H317" s="28"/>
      <c r="I317" s="28"/>
      <c r="J317" s="31"/>
    </row>
    <row r="318" spans="7:10" x14ac:dyDescent="0.3">
      <c r="G318" s="28"/>
      <c r="H318" s="28"/>
      <c r="I318" s="28"/>
      <c r="J318" s="31"/>
    </row>
    <row r="319" spans="7:10" x14ac:dyDescent="0.3">
      <c r="G319" s="28"/>
      <c r="H319" s="28"/>
      <c r="I319" s="28"/>
      <c r="J319" s="31"/>
    </row>
    <row r="320" spans="7:10" x14ac:dyDescent="0.3">
      <c r="G320" s="28"/>
      <c r="H320" s="28"/>
      <c r="I320" s="28"/>
      <c r="J320" s="31"/>
    </row>
    <row r="321" spans="7:10" x14ac:dyDescent="0.3">
      <c r="G321" s="28"/>
      <c r="H321" s="28"/>
      <c r="I321" s="28"/>
      <c r="J321" s="31"/>
    </row>
    <row r="322" spans="7:10" x14ac:dyDescent="0.3">
      <c r="G322" s="28"/>
      <c r="H322" s="28"/>
      <c r="I322" s="28"/>
      <c r="J322" s="31"/>
    </row>
    <row r="323" spans="7:10" x14ac:dyDescent="0.3">
      <c r="G323" s="28"/>
      <c r="H323" s="28"/>
      <c r="I323" s="28"/>
      <c r="J323" s="31"/>
    </row>
    <row r="324" spans="7:10" x14ac:dyDescent="0.3">
      <c r="G324" s="28"/>
      <c r="H324" s="28"/>
      <c r="I324" s="28"/>
      <c r="J324" s="31"/>
    </row>
    <row r="325" spans="7:10" x14ac:dyDescent="0.3">
      <c r="G325" s="28"/>
      <c r="H325" s="28"/>
      <c r="I325" s="28"/>
      <c r="J325" s="31"/>
    </row>
    <row r="326" spans="7:10" x14ac:dyDescent="0.3">
      <c r="G326" s="28"/>
      <c r="H326" s="28"/>
      <c r="I326" s="28"/>
      <c r="J326" s="31"/>
    </row>
    <row r="327" spans="7:10" x14ac:dyDescent="0.3">
      <c r="G327" s="28"/>
      <c r="H327" s="28"/>
      <c r="I327" s="28"/>
      <c r="J327" s="31"/>
    </row>
    <row r="328" spans="7:10" x14ac:dyDescent="0.3">
      <c r="G328" s="28"/>
      <c r="H328" s="28"/>
      <c r="I328" s="28"/>
      <c r="J328" s="31"/>
    </row>
    <row r="329" spans="7:10" x14ac:dyDescent="0.3">
      <c r="G329" s="28"/>
      <c r="H329" s="28"/>
      <c r="I329" s="28"/>
      <c r="J329" s="31"/>
    </row>
    <row r="330" spans="7:10" x14ac:dyDescent="0.3">
      <c r="G330" s="28"/>
      <c r="H330" s="28"/>
      <c r="I330" s="28"/>
      <c r="J330" s="31"/>
    </row>
    <row r="331" spans="7:10" x14ac:dyDescent="0.3">
      <c r="G331" s="28"/>
      <c r="H331" s="28"/>
      <c r="I331" s="28"/>
      <c r="J331" s="31"/>
    </row>
    <row r="332" spans="7:10" x14ac:dyDescent="0.3">
      <c r="G332" s="28"/>
      <c r="H332" s="28"/>
      <c r="I332" s="28"/>
      <c r="J332" s="31"/>
    </row>
    <row r="333" spans="7:10" x14ac:dyDescent="0.3">
      <c r="G333" s="28"/>
      <c r="H333" s="28"/>
      <c r="I333" s="28"/>
      <c r="J333" s="31"/>
    </row>
    <row r="334" spans="7:10" x14ac:dyDescent="0.3">
      <c r="G334" s="28"/>
      <c r="H334" s="28"/>
      <c r="I334" s="28"/>
      <c r="J334" s="31"/>
    </row>
    <row r="335" spans="7:10" x14ac:dyDescent="0.3">
      <c r="G335" s="28"/>
      <c r="H335" s="28"/>
      <c r="I335" s="28"/>
      <c r="J335" s="31"/>
    </row>
    <row r="336" spans="7:10" x14ac:dyDescent="0.3">
      <c r="G336" s="28"/>
      <c r="H336" s="28"/>
      <c r="I336" s="28"/>
      <c r="J336" s="31"/>
    </row>
    <row r="337" spans="7:10" x14ac:dyDescent="0.3">
      <c r="G337" s="28"/>
      <c r="H337" s="28"/>
      <c r="I337" s="28"/>
      <c r="J337" s="31"/>
    </row>
    <row r="338" spans="7:10" x14ac:dyDescent="0.3">
      <c r="G338" s="28"/>
      <c r="H338" s="28"/>
      <c r="I338" s="28"/>
      <c r="J338" s="31"/>
    </row>
    <row r="339" spans="7:10" x14ac:dyDescent="0.3">
      <c r="G339" s="28"/>
      <c r="H339" s="28"/>
      <c r="I339" s="28"/>
      <c r="J339" s="31"/>
    </row>
    <row r="340" spans="7:10" x14ac:dyDescent="0.3">
      <c r="G340" s="28"/>
      <c r="H340" s="28"/>
      <c r="I340" s="28"/>
      <c r="J340" s="31"/>
    </row>
    <row r="341" spans="7:10" x14ac:dyDescent="0.3">
      <c r="G341" s="28"/>
      <c r="H341" s="28"/>
      <c r="I341" s="28"/>
      <c r="J341" s="31"/>
    </row>
    <row r="342" spans="7:10" x14ac:dyDescent="0.3">
      <c r="G342" s="28"/>
      <c r="H342" s="28"/>
      <c r="I342" s="28"/>
      <c r="J342" s="31"/>
    </row>
    <row r="343" spans="7:10" x14ac:dyDescent="0.3">
      <c r="G343" s="28"/>
      <c r="H343" s="28"/>
      <c r="I343" s="28"/>
      <c r="J343" s="31"/>
    </row>
    <row r="344" spans="7:10" x14ac:dyDescent="0.3">
      <c r="G344" s="28"/>
      <c r="H344" s="28"/>
      <c r="I344" s="28"/>
      <c r="J344" s="31"/>
    </row>
    <row r="345" spans="7:10" x14ac:dyDescent="0.3">
      <c r="G345" s="28"/>
      <c r="H345" s="28"/>
      <c r="I345" s="28"/>
      <c r="J345" s="31"/>
    </row>
    <row r="346" spans="7:10" x14ac:dyDescent="0.3">
      <c r="G346" s="28"/>
      <c r="H346" s="28"/>
      <c r="I346" s="28"/>
      <c r="J346" s="31"/>
    </row>
    <row r="347" spans="7:10" x14ac:dyDescent="0.3">
      <c r="G347" s="28"/>
      <c r="H347" s="28"/>
      <c r="I347" s="28"/>
      <c r="J347" s="31"/>
    </row>
    <row r="348" spans="7:10" x14ac:dyDescent="0.3">
      <c r="G348" s="28"/>
      <c r="H348" s="28"/>
      <c r="I348" s="28"/>
      <c r="J348" s="31"/>
    </row>
    <row r="349" spans="7:10" x14ac:dyDescent="0.3">
      <c r="G349" s="28"/>
      <c r="H349" s="28"/>
      <c r="I349" s="28"/>
      <c r="J349" s="31"/>
    </row>
    <row r="350" spans="7:10" x14ac:dyDescent="0.3">
      <c r="G350" s="28"/>
      <c r="H350" s="28"/>
      <c r="I350" s="28"/>
      <c r="J350" s="31"/>
    </row>
    <row r="351" spans="7:10" x14ac:dyDescent="0.3">
      <c r="G351" s="28"/>
      <c r="H351" s="28"/>
      <c r="I351" s="28"/>
      <c r="J351" s="31"/>
    </row>
    <row r="352" spans="7:10" x14ac:dyDescent="0.3">
      <c r="G352" s="28"/>
      <c r="H352" s="28"/>
      <c r="I352" s="28"/>
      <c r="J352" s="31"/>
    </row>
    <row r="353" spans="7:10" x14ac:dyDescent="0.3">
      <c r="G353" s="28"/>
      <c r="H353" s="28"/>
      <c r="I353" s="28"/>
      <c r="J353" s="31"/>
    </row>
    <row r="354" spans="7:10" x14ac:dyDescent="0.3">
      <c r="G354" s="28"/>
      <c r="H354" s="28"/>
      <c r="I354" s="28"/>
      <c r="J354" s="31"/>
    </row>
    <row r="355" spans="7:10" x14ac:dyDescent="0.3">
      <c r="G355" s="28"/>
      <c r="H355" s="28"/>
      <c r="I355" s="28"/>
      <c r="J355" s="31"/>
    </row>
    <row r="356" spans="7:10" x14ac:dyDescent="0.3">
      <c r="G356" s="28"/>
      <c r="H356" s="28"/>
      <c r="I356" s="28"/>
      <c r="J356" s="31"/>
    </row>
    <row r="357" spans="7:10" x14ac:dyDescent="0.3">
      <c r="G357" s="28"/>
      <c r="H357" s="28"/>
      <c r="I357" s="28"/>
      <c r="J357" s="31"/>
    </row>
    <row r="358" spans="7:10" x14ac:dyDescent="0.3">
      <c r="G358" s="28"/>
      <c r="H358" s="28"/>
      <c r="I358" s="28"/>
      <c r="J358" s="31"/>
    </row>
    <row r="359" spans="7:10" x14ac:dyDescent="0.3">
      <c r="G359" s="28"/>
      <c r="H359" s="28"/>
      <c r="I359" s="28"/>
      <c r="J359" s="31"/>
    </row>
    <row r="360" spans="7:10" x14ac:dyDescent="0.3">
      <c r="G360" s="28"/>
      <c r="H360" s="28"/>
      <c r="I360" s="28"/>
      <c r="J360" s="31"/>
    </row>
    <row r="361" spans="7:10" x14ac:dyDescent="0.3">
      <c r="G361" s="28"/>
      <c r="H361" s="28"/>
      <c r="I361" s="28"/>
      <c r="J361" s="31"/>
    </row>
    <row r="362" spans="7:10" x14ac:dyDescent="0.3">
      <c r="G362" s="28"/>
      <c r="H362" s="28"/>
      <c r="I362" s="28"/>
      <c r="J362" s="31"/>
    </row>
    <row r="363" spans="7:10" x14ac:dyDescent="0.3">
      <c r="G363" s="28"/>
      <c r="H363" s="28"/>
      <c r="I363" s="28"/>
      <c r="J363" s="31"/>
    </row>
    <row r="364" spans="7:10" x14ac:dyDescent="0.3">
      <c r="G364" s="28"/>
      <c r="H364" s="28"/>
      <c r="I364" s="28"/>
      <c r="J364" s="31"/>
    </row>
    <row r="365" spans="7:10" x14ac:dyDescent="0.3">
      <c r="G365" s="28"/>
      <c r="H365" s="28"/>
      <c r="I365" s="28"/>
      <c r="J365" s="31"/>
    </row>
    <row r="366" spans="7:10" x14ac:dyDescent="0.3">
      <c r="G366" s="28"/>
      <c r="H366" s="28"/>
      <c r="I366" s="28"/>
      <c r="J366" s="31"/>
    </row>
    <row r="367" spans="7:10" x14ac:dyDescent="0.3">
      <c r="G367" s="28"/>
      <c r="H367" s="28"/>
      <c r="I367" s="28"/>
      <c r="J367" s="31"/>
    </row>
    <row r="368" spans="7:10" x14ac:dyDescent="0.3">
      <c r="G368" s="28"/>
      <c r="H368" s="28"/>
      <c r="I368" s="28"/>
      <c r="J368" s="31"/>
    </row>
    <row r="369" spans="7:10" x14ac:dyDescent="0.3">
      <c r="G369" s="28"/>
      <c r="H369" s="28"/>
      <c r="I369" s="28"/>
      <c r="J369" s="31"/>
    </row>
    <row r="370" spans="7:10" x14ac:dyDescent="0.3">
      <c r="G370" s="28"/>
      <c r="H370" s="28"/>
      <c r="I370" s="28"/>
      <c r="J370" s="31"/>
    </row>
    <row r="371" spans="7:10" x14ac:dyDescent="0.3">
      <c r="G371" s="28"/>
      <c r="H371" s="28"/>
      <c r="I371" s="28"/>
      <c r="J371" s="31"/>
    </row>
    <row r="372" spans="7:10" x14ac:dyDescent="0.3">
      <c r="G372" s="28"/>
      <c r="H372" s="28"/>
      <c r="I372" s="28"/>
      <c r="J372" s="31"/>
    </row>
    <row r="373" spans="7:10" x14ac:dyDescent="0.3">
      <c r="G373" s="28"/>
      <c r="H373" s="28"/>
      <c r="I373" s="28"/>
      <c r="J373" s="31"/>
    </row>
    <row r="374" spans="7:10" x14ac:dyDescent="0.3">
      <c r="G374" s="28"/>
      <c r="H374" s="28"/>
      <c r="I374" s="28"/>
      <c r="J374" s="31"/>
    </row>
    <row r="375" spans="7:10" x14ac:dyDescent="0.3">
      <c r="G375" s="28"/>
      <c r="H375" s="28"/>
      <c r="I375" s="28"/>
      <c r="J375" s="31"/>
    </row>
    <row r="376" spans="7:10" x14ac:dyDescent="0.3">
      <c r="G376" s="28"/>
      <c r="H376" s="28"/>
      <c r="I376" s="28"/>
      <c r="J376" s="31"/>
    </row>
    <row r="377" spans="7:10" x14ac:dyDescent="0.3">
      <c r="G377" s="28"/>
      <c r="H377" s="28"/>
      <c r="I377" s="28"/>
      <c r="J377" s="31"/>
    </row>
    <row r="378" spans="7:10" x14ac:dyDescent="0.3">
      <c r="G378" s="28"/>
      <c r="H378" s="28"/>
      <c r="I378" s="28"/>
      <c r="J378" s="31"/>
    </row>
    <row r="379" spans="7:10" x14ac:dyDescent="0.3">
      <c r="G379" s="28"/>
      <c r="H379" s="28"/>
      <c r="I379" s="28"/>
      <c r="J379" s="31"/>
    </row>
    <row r="380" spans="7:10" x14ac:dyDescent="0.3">
      <c r="G380" s="28"/>
      <c r="H380" s="28"/>
      <c r="I380" s="28"/>
      <c r="J380" s="31"/>
    </row>
    <row r="381" spans="7:10" x14ac:dyDescent="0.3">
      <c r="G381" s="28"/>
      <c r="H381" s="28"/>
      <c r="I381" s="28"/>
      <c r="J381" s="31"/>
    </row>
    <row r="382" spans="7:10" x14ac:dyDescent="0.3">
      <c r="G382" s="28"/>
      <c r="H382" s="28"/>
      <c r="I382" s="28"/>
      <c r="J382" s="31"/>
    </row>
    <row r="383" spans="7:10" x14ac:dyDescent="0.3">
      <c r="G383" s="28"/>
      <c r="H383" s="28"/>
      <c r="I383" s="28"/>
      <c r="J383" s="31"/>
    </row>
    <row r="384" spans="7:10" x14ac:dyDescent="0.3">
      <c r="G384" s="28"/>
      <c r="H384" s="28"/>
      <c r="I384" s="28"/>
      <c r="J384" s="31"/>
    </row>
    <row r="385" spans="7:10" x14ac:dyDescent="0.3">
      <c r="G385" s="28"/>
      <c r="H385" s="28"/>
      <c r="I385" s="28"/>
      <c r="J385" s="31"/>
    </row>
    <row r="386" spans="7:10" x14ac:dyDescent="0.3">
      <c r="G386" s="28"/>
      <c r="H386" s="28"/>
      <c r="I386" s="28"/>
      <c r="J386" s="31"/>
    </row>
    <row r="387" spans="7:10" x14ac:dyDescent="0.3">
      <c r="G387" s="28"/>
      <c r="H387" s="28"/>
      <c r="I387" s="28"/>
      <c r="J387" s="31"/>
    </row>
    <row r="388" spans="7:10" x14ac:dyDescent="0.3">
      <c r="G388" s="28"/>
      <c r="H388" s="28"/>
      <c r="I388" s="28"/>
      <c r="J388" s="31"/>
    </row>
    <row r="389" spans="7:10" x14ac:dyDescent="0.3">
      <c r="G389" s="28"/>
      <c r="H389" s="28"/>
      <c r="I389" s="28"/>
      <c r="J389" s="31"/>
    </row>
    <row r="390" spans="7:10" x14ac:dyDescent="0.3">
      <c r="G390" s="28"/>
      <c r="H390" s="28"/>
      <c r="I390" s="28"/>
      <c r="J390" s="31"/>
    </row>
    <row r="391" spans="7:10" x14ac:dyDescent="0.3">
      <c r="G391" s="28"/>
      <c r="H391" s="28"/>
      <c r="I391" s="28"/>
      <c r="J391" s="31"/>
    </row>
    <row r="392" spans="7:10" x14ac:dyDescent="0.3">
      <c r="G392" s="28"/>
      <c r="H392" s="28"/>
      <c r="I392" s="28"/>
      <c r="J392" s="31"/>
    </row>
    <row r="393" spans="7:10" x14ac:dyDescent="0.3">
      <c r="G393" s="28"/>
      <c r="H393" s="28"/>
      <c r="I393" s="28"/>
      <c r="J393" s="31"/>
    </row>
    <row r="394" spans="7:10" x14ac:dyDescent="0.3">
      <c r="G394" s="28"/>
      <c r="H394" s="28"/>
      <c r="I394" s="28"/>
      <c r="J394" s="31"/>
    </row>
    <row r="395" spans="7:10" x14ac:dyDescent="0.3">
      <c r="G395" s="28"/>
      <c r="H395" s="28"/>
      <c r="I395" s="28"/>
      <c r="J395" s="31"/>
    </row>
    <row r="396" spans="7:10" x14ac:dyDescent="0.3">
      <c r="G396" s="28"/>
      <c r="H396" s="28"/>
      <c r="I396" s="28"/>
      <c r="J396" s="31"/>
    </row>
    <row r="397" spans="7:10" x14ac:dyDescent="0.3">
      <c r="G397" s="28"/>
      <c r="H397" s="28"/>
      <c r="I397" s="28"/>
      <c r="J397" s="31"/>
    </row>
    <row r="398" spans="7:10" x14ac:dyDescent="0.3">
      <c r="G398" s="28"/>
      <c r="H398" s="28"/>
      <c r="I398" s="28"/>
      <c r="J398" s="31"/>
    </row>
    <row r="399" spans="7:10" x14ac:dyDescent="0.3">
      <c r="G399" s="28"/>
      <c r="H399" s="28"/>
      <c r="I399" s="28"/>
      <c r="J399" s="31"/>
    </row>
    <row r="400" spans="7:10" x14ac:dyDescent="0.3">
      <c r="G400" s="28"/>
      <c r="H400" s="28"/>
      <c r="I400" s="28"/>
      <c r="J400" s="31"/>
    </row>
    <row r="401" spans="7:10" x14ac:dyDescent="0.3">
      <c r="G401" s="28"/>
      <c r="H401" s="28"/>
      <c r="I401" s="28"/>
      <c r="J401" s="31"/>
    </row>
    <row r="402" spans="7:10" x14ac:dyDescent="0.3">
      <c r="G402" s="28"/>
      <c r="H402" s="28"/>
      <c r="I402" s="28"/>
      <c r="J402" s="31"/>
    </row>
    <row r="403" spans="7:10" x14ac:dyDescent="0.3">
      <c r="G403" s="28"/>
      <c r="H403" s="28"/>
      <c r="I403" s="28"/>
      <c r="J403" s="31"/>
    </row>
    <row r="404" spans="7:10" x14ac:dyDescent="0.3">
      <c r="G404" s="28"/>
      <c r="H404" s="28"/>
      <c r="I404" s="28"/>
      <c r="J404" s="31"/>
    </row>
    <row r="405" spans="7:10" x14ac:dyDescent="0.3">
      <c r="G405" s="28"/>
      <c r="H405" s="28"/>
      <c r="I405" s="28"/>
      <c r="J405" s="31"/>
    </row>
    <row r="406" spans="7:10" x14ac:dyDescent="0.3">
      <c r="G406" s="28"/>
      <c r="H406" s="28"/>
      <c r="I406" s="28"/>
      <c r="J406" s="31"/>
    </row>
    <row r="407" spans="7:10" x14ac:dyDescent="0.3">
      <c r="G407" s="28"/>
      <c r="H407" s="28"/>
      <c r="I407" s="28"/>
      <c r="J407" s="31"/>
    </row>
    <row r="408" spans="7:10" x14ac:dyDescent="0.3">
      <c r="G408" s="28"/>
      <c r="H408" s="28"/>
      <c r="I408" s="28"/>
      <c r="J408" s="31"/>
    </row>
    <row r="409" spans="7:10" x14ac:dyDescent="0.3">
      <c r="G409" s="28"/>
      <c r="H409" s="28"/>
      <c r="I409" s="28"/>
      <c r="J409" s="31"/>
    </row>
    <row r="410" spans="7:10" x14ac:dyDescent="0.3">
      <c r="G410" s="28"/>
      <c r="H410" s="28"/>
      <c r="I410" s="28"/>
      <c r="J410" s="31"/>
    </row>
    <row r="411" spans="7:10" x14ac:dyDescent="0.3">
      <c r="G411" s="28"/>
      <c r="H411" s="28"/>
      <c r="I411" s="28"/>
      <c r="J411" s="31"/>
    </row>
    <row r="412" spans="7:10" x14ac:dyDescent="0.3">
      <c r="G412" s="28"/>
      <c r="H412" s="28"/>
      <c r="I412" s="28"/>
      <c r="J412" s="31"/>
    </row>
    <row r="413" spans="7:10" x14ac:dyDescent="0.3">
      <c r="G413" s="28"/>
      <c r="H413" s="28"/>
      <c r="I413" s="28"/>
      <c r="J413" s="31"/>
    </row>
    <row r="414" spans="7:10" x14ac:dyDescent="0.3">
      <c r="G414" s="28"/>
      <c r="H414" s="28"/>
      <c r="I414" s="28"/>
      <c r="J414" s="31"/>
    </row>
    <row r="415" spans="7:10" x14ac:dyDescent="0.3">
      <c r="G415" s="28"/>
      <c r="H415" s="28"/>
      <c r="I415" s="28"/>
      <c r="J415" s="31"/>
    </row>
    <row r="416" spans="7:10" x14ac:dyDescent="0.3">
      <c r="G416" s="28"/>
      <c r="H416" s="28"/>
      <c r="I416" s="28"/>
      <c r="J416" s="31"/>
    </row>
    <row r="417" spans="7:10" x14ac:dyDescent="0.3">
      <c r="G417" s="28"/>
      <c r="H417" s="28"/>
      <c r="I417" s="28"/>
      <c r="J417" s="31"/>
    </row>
    <row r="418" spans="7:10" x14ac:dyDescent="0.3">
      <c r="G418" s="28"/>
      <c r="H418" s="28"/>
      <c r="I418" s="28"/>
      <c r="J418" s="31"/>
    </row>
    <row r="419" spans="7:10" x14ac:dyDescent="0.3">
      <c r="G419" s="28"/>
      <c r="H419" s="28"/>
      <c r="I419" s="28"/>
      <c r="J419" s="31"/>
    </row>
    <row r="420" spans="7:10" x14ac:dyDescent="0.3">
      <c r="G420" s="28"/>
      <c r="H420" s="28"/>
      <c r="I420" s="28"/>
      <c r="J420" s="31"/>
    </row>
    <row r="421" spans="7:10" x14ac:dyDescent="0.3">
      <c r="G421" s="28"/>
      <c r="H421" s="28"/>
      <c r="I421" s="28"/>
      <c r="J421" s="31"/>
    </row>
    <row r="422" spans="7:10" x14ac:dyDescent="0.3">
      <c r="G422" s="28"/>
      <c r="H422" s="28"/>
      <c r="I422" s="28"/>
      <c r="J422" s="31"/>
    </row>
    <row r="423" spans="7:10" x14ac:dyDescent="0.3">
      <c r="G423" s="28"/>
      <c r="H423" s="28"/>
      <c r="I423" s="28"/>
      <c r="J423" s="31"/>
    </row>
    <row r="424" spans="7:10" x14ac:dyDescent="0.3">
      <c r="G424" s="28"/>
      <c r="H424" s="28"/>
      <c r="I424" s="28"/>
      <c r="J424" s="31"/>
    </row>
    <row r="425" spans="7:10" x14ac:dyDescent="0.3">
      <c r="G425" s="28"/>
      <c r="H425" s="28"/>
      <c r="I425" s="28"/>
      <c r="J425" s="31"/>
    </row>
    <row r="426" spans="7:10" x14ac:dyDescent="0.3">
      <c r="G426" s="28"/>
      <c r="H426" s="28"/>
      <c r="I426" s="28"/>
      <c r="J426" s="31"/>
    </row>
    <row r="427" spans="7:10" x14ac:dyDescent="0.3">
      <c r="G427" s="28"/>
      <c r="H427" s="28"/>
      <c r="I427" s="28"/>
      <c r="J427" s="31"/>
    </row>
    <row r="428" spans="7:10" x14ac:dyDescent="0.3">
      <c r="G428" s="28"/>
      <c r="H428" s="28"/>
      <c r="I428" s="28"/>
      <c r="J428" s="31"/>
    </row>
    <row r="429" spans="7:10" x14ac:dyDescent="0.3">
      <c r="G429" s="28"/>
      <c r="H429" s="28"/>
      <c r="I429" s="28"/>
      <c r="J429" s="31"/>
    </row>
    <row r="430" spans="7:10" x14ac:dyDescent="0.3">
      <c r="G430" s="28"/>
      <c r="H430" s="28"/>
      <c r="I430" s="28"/>
      <c r="J430" s="31"/>
    </row>
    <row r="431" spans="7:10" x14ac:dyDescent="0.3">
      <c r="G431" s="28"/>
      <c r="H431" s="28"/>
      <c r="I431" s="28"/>
      <c r="J431" s="31"/>
    </row>
    <row r="432" spans="7:10" x14ac:dyDescent="0.3">
      <c r="G432" s="28"/>
      <c r="H432" s="28"/>
      <c r="I432" s="28"/>
      <c r="J432" s="31"/>
    </row>
    <row r="433" spans="7:10" x14ac:dyDescent="0.3">
      <c r="G433" s="28"/>
      <c r="H433" s="28"/>
      <c r="I433" s="28"/>
      <c r="J433" s="31"/>
    </row>
    <row r="434" spans="7:10" x14ac:dyDescent="0.3">
      <c r="G434" s="28"/>
      <c r="H434" s="28"/>
      <c r="I434" s="28"/>
      <c r="J434" s="31"/>
    </row>
    <row r="435" spans="7:10" x14ac:dyDescent="0.3">
      <c r="G435" s="28"/>
      <c r="H435" s="28"/>
      <c r="I435" s="28"/>
      <c r="J435" s="31"/>
    </row>
    <row r="436" spans="7:10" x14ac:dyDescent="0.3">
      <c r="G436" s="28"/>
      <c r="H436" s="28"/>
      <c r="I436" s="28"/>
      <c r="J436" s="31"/>
    </row>
    <row r="437" spans="7:10" x14ac:dyDescent="0.3">
      <c r="G437" s="28"/>
      <c r="H437" s="28"/>
      <c r="I437" s="28"/>
      <c r="J437" s="31"/>
    </row>
    <row r="438" spans="7:10" x14ac:dyDescent="0.3">
      <c r="G438" s="28"/>
      <c r="H438" s="28"/>
      <c r="I438" s="28"/>
      <c r="J438" s="31"/>
    </row>
    <row r="439" spans="7:10" x14ac:dyDescent="0.3">
      <c r="G439" s="28"/>
      <c r="H439" s="28"/>
      <c r="I439" s="28"/>
      <c r="J439" s="31"/>
    </row>
    <row r="440" spans="7:10" x14ac:dyDescent="0.3">
      <c r="G440" s="28"/>
      <c r="H440" s="28"/>
      <c r="I440" s="28"/>
      <c r="J440" s="31"/>
    </row>
    <row r="441" spans="7:10" x14ac:dyDescent="0.3">
      <c r="G441" s="28"/>
      <c r="H441" s="28"/>
      <c r="I441" s="28"/>
      <c r="J441" s="31"/>
    </row>
    <row r="442" spans="7:10" x14ac:dyDescent="0.3">
      <c r="G442" s="28"/>
      <c r="H442" s="28"/>
      <c r="I442" s="28"/>
      <c r="J442" s="31"/>
    </row>
    <row r="443" spans="7:10" x14ac:dyDescent="0.3">
      <c r="G443" s="28"/>
      <c r="H443" s="28"/>
      <c r="I443" s="28"/>
      <c r="J443" s="31"/>
    </row>
    <row r="444" spans="7:10" x14ac:dyDescent="0.3">
      <c r="G444" s="28"/>
      <c r="H444" s="28"/>
      <c r="I444" s="28"/>
      <c r="J444" s="31"/>
    </row>
    <row r="445" spans="7:10" x14ac:dyDescent="0.3">
      <c r="G445" s="28"/>
      <c r="H445" s="28"/>
      <c r="I445" s="28"/>
      <c r="J445" s="31"/>
    </row>
    <row r="446" spans="7:10" x14ac:dyDescent="0.3">
      <c r="G446" s="28"/>
      <c r="H446" s="28"/>
      <c r="I446" s="28"/>
      <c r="J446" s="31"/>
    </row>
    <row r="447" spans="7:10" x14ac:dyDescent="0.3">
      <c r="G447" s="28"/>
      <c r="H447" s="28"/>
      <c r="I447" s="28"/>
      <c r="J447" s="31"/>
    </row>
    <row r="448" spans="7:10" x14ac:dyDescent="0.3">
      <c r="G448" s="28"/>
      <c r="H448" s="28"/>
      <c r="I448" s="28"/>
      <c r="J448" s="31"/>
    </row>
    <row r="449" spans="7:10" x14ac:dyDescent="0.3">
      <c r="G449" s="28"/>
      <c r="H449" s="28"/>
      <c r="I449" s="28"/>
      <c r="J449" s="31"/>
    </row>
    <row r="450" spans="7:10" x14ac:dyDescent="0.3">
      <c r="G450" s="28"/>
      <c r="H450" s="28"/>
      <c r="I450" s="28"/>
      <c r="J450" s="31"/>
    </row>
    <row r="451" spans="7:10" x14ac:dyDescent="0.3">
      <c r="G451" s="28"/>
      <c r="H451" s="28"/>
      <c r="I451" s="28"/>
      <c r="J451" s="31"/>
    </row>
    <row r="452" spans="7:10" x14ac:dyDescent="0.3">
      <c r="G452" s="28"/>
      <c r="H452" s="28"/>
      <c r="I452" s="28"/>
      <c r="J452" s="31"/>
    </row>
    <row r="453" spans="7:10" x14ac:dyDescent="0.3">
      <c r="G453" s="28"/>
      <c r="H453" s="28"/>
      <c r="I453" s="28"/>
      <c r="J453" s="31"/>
    </row>
    <row r="454" spans="7:10" x14ac:dyDescent="0.3">
      <c r="G454" s="28"/>
      <c r="H454" s="28"/>
      <c r="I454" s="28"/>
      <c r="J454" s="31"/>
    </row>
    <row r="455" spans="7:10" x14ac:dyDescent="0.3">
      <c r="G455" s="28"/>
      <c r="H455" s="28"/>
      <c r="I455" s="28"/>
      <c r="J455" s="31"/>
    </row>
    <row r="456" spans="7:10" x14ac:dyDescent="0.3">
      <c r="G456" s="28"/>
      <c r="H456" s="28"/>
      <c r="I456" s="28"/>
      <c r="J456" s="31"/>
    </row>
    <row r="457" spans="7:10" x14ac:dyDescent="0.3">
      <c r="G457" s="28"/>
      <c r="H457" s="28"/>
      <c r="I457" s="28"/>
      <c r="J457" s="31"/>
    </row>
    <row r="458" spans="7:10" x14ac:dyDescent="0.3">
      <c r="G458" s="28"/>
      <c r="H458" s="28"/>
      <c r="I458" s="28"/>
      <c r="J458" s="31"/>
    </row>
    <row r="459" spans="7:10" x14ac:dyDescent="0.3">
      <c r="G459" s="28"/>
      <c r="H459" s="28"/>
      <c r="I459" s="28"/>
      <c r="J459" s="31"/>
    </row>
    <row r="460" spans="7:10" x14ac:dyDescent="0.3">
      <c r="G460" s="28"/>
      <c r="H460" s="28"/>
      <c r="I460" s="28"/>
      <c r="J460" s="31"/>
    </row>
    <row r="461" spans="7:10" x14ac:dyDescent="0.3">
      <c r="G461" s="28"/>
      <c r="H461" s="28"/>
      <c r="I461" s="28"/>
      <c r="J461" s="31"/>
    </row>
    <row r="462" spans="7:10" x14ac:dyDescent="0.3">
      <c r="G462" s="28"/>
      <c r="H462" s="28"/>
      <c r="I462" s="28"/>
      <c r="J462" s="31"/>
    </row>
    <row r="463" spans="7:10" x14ac:dyDescent="0.3">
      <c r="G463" s="28"/>
      <c r="H463" s="28"/>
      <c r="I463" s="28"/>
      <c r="J463" s="31"/>
    </row>
    <row r="464" spans="7:10" x14ac:dyDescent="0.3">
      <c r="G464" s="28"/>
      <c r="H464" s="28"/>
      <c r="I464" s="28"/>
      <c r="J464" s="31"/>
    </row>
    <row r="465" spans="7:10" x14ac:dyDescent="0.3">
      <c r="G465" s="28"/>
      <c r="H465" s="28"/>
      <c r="I465" s="28"/>
      <c r="J465" s="31"/>
    </row>
    <row r="466" spans="7:10" x14ac:dyDescent="0.3">
      <c r="G466" s="28"/>
      <c r="H466" s="28"/>
      <c r="I466" s="28"/>
      <c r="J466" s="31"/>
    </row>
    <row r="467" spans="7:10" x14ac:dyDescent="0.3">
      <c r="G467" s="28"/>
      <c r="H467" s="28"/>
      <c r="I467" s="28"/>
      <c r="J467" s="31"/>
    </row>
    <row r="468" spans="7:10" x14ac:dyDescent="0.3">
      <c r="G468" s="28"/>
      <c r="H468" s="28"/>
      <c r="I468" s="28"/>
      <c r="J468" s="31"/>
    </row>
    <row r="469" spans="7:10" x14ac:dyDescent="0.3">
      <c r="G469" s="28"/>
      <c r="H469" s="28"/>
      <c r="I469" s="28"/>
      <c r="J469" s="31"/>
    </row>
    <row r="470" spans="7:10" x14ac:dyDescent="0.3">
      <c r="G470" s="28"/>
      <c r="H470" s="28"/>
      <c r="I470" s="28"/>
      <c r="J470" s="31"/>
    </row>
    <row r="471" spans="7:10" x14ac:dyDescent="0.3">
      <c r="G471" s="28"/>
      <c r="H471" s="28"/>
      <c r="I471" s="28"/>
      <c r="J471" s="31"/>
    </row>
    <row r="472" spans="7:10" x14ac:dyDescent="0.3">
      <c r="G472" s="28"/>
      <c r="H472" s="28"/>
      <c r="I472" s="28"/>
      <c r="J472" s="31"/>
    </row>
    <row r="473" spans="7:10" x14ac:dyDescent="0.3">
      <c r="G473" s="28"/>
      <c r="H473" s="28"/>
      <c r="I473" s="28"/>
      <c r="J473" s="31"/>
    </row>
    <row r="474" spans="7:10" x14ac:dyDescent="0.3">
      <c r="G474" s="28"/>
      <c r="H474" s="28"/>
      <c r="I474" s="28"/>
      <c r="J474" s="31"/>
    </row>
    <row r="475" spans="7:10" x14ac:dyDescent="0.3">
      <c r="G475" s="28"/>
      <c r="H475" s="28"/>
      <c r="I475" s="28"/>
      <c r="J475" s="31"/>
    </row>
    <row r="476" spans="7:10" x14ac:dyDescent="0.3">
      <c r="G476" s="28"/>
      <c r="H476" s="28"/>
      <c r="I476" s="28"/>
      <c r="J476" s="31"/>
    </row>
    <row r="477" spans="7:10" x14ac:dyDescent="0.3">
      <c r="G477" s="28"/>
      <c r="H477" s="28"/>
      <c r="I477" s="28"/>
      <c r="J477" s="31"/>
    </row>
    <row r="478" spans="7:10" x14ac:dyDescent="0.3">
      <c r="G478" s="28"/>
      <c r="H478" s="28"/>
      <c r="I478" s="28"/>
      <c r="J478" s="31"/>
    </row>
    <row r="479" spans="7:10" x14ac:dyDescent="0.3">
      <c r="G479" s="28"/>
      <c r="H479" s="28"/>
      <c r="I479" s="28"/>
      <c r="J479" s="31"/>
    </row>
    <row r="480" spans="7:10" x14ac:dyDescent="0.3">
      <c r="G480" s="28"/>
      <c r="H480" s="28"/>
      <c r="I480" s="28"/>
      <c r="J480" s="31"/>
    </row>
    <row r="481" spans="7:10" x14ac:dyDescent="0.3">
      <c r="G481" s="28"/>
      <c r="H481" s="28"/>
      <c r="I481" s="28"/>
      <c r="J481" s="31"/>
    </row>
    <row r="482" spans="7:10" x14ac:dyDescent="0.3">
      <c r="G482" s="28"/>
      <c r="H482" s="28"/>
      <c r="I482" s="28"/>
      <c r="J482" s="31"/>
    </row>
    <row r="483" spans="7:10" x14ac:dyDescent="0.3">
      <c r="G483" s="28"/>
      <c r="H483" s="28"/>
      <c r="I483" s="28"/>
      <c r="J483" s="31"/>
    </row>
    <row r="484" spans="7:10" x14ac:dyDescent="0.3">
      <c r="G484" s="28"/>
      <c r="H484" s="28"/>
      <c r="I484" s="28"/>
      <c r="J484" s="31"/>
    </row>
    <row r="485" spans="7:10" x14ac:dyDescent="0.3">
      <c r="G485" s="28"/>
      <c r="H485" s="28"/>
      <c r="I485" s="28"/>
      <c r="J485" s="31"/>
    </row>
    <row r="486" spans="7:10" x14ac:dyDescent="0.3">
      <c r="G486" s="28"/>
      <c r="H486" s="28"/>
      <c r="I486" s="28"/>
      <c r="J486" s="31"/>
    </row>
    <row r="487" spans="7:10" x14ac:dyDescent="0.3">
      <c r="G487" s="28"/>
      <c r="H487" s="28"/>
      <c r="I487" s="28"/>
      <c r="J487" s="31"/>
    </row>
    <row r="488" spans="7:10" x14ac:dyDescent="0.3">
      <c r="G488" s="28"/>
      <c r="H488" s="28"/>
      <c r="I488" s="28"/>
      <c r="J488" s="31"/>
    </row>
    <row r="489" spans="7:10" x14ac:dyDescent="0.3">
      <c r="G489" s="28"/>
      <c r="H489" s="28"/>
      <c r="I489" s="28"/>
      <c r="J489" s="31"/>
    </row>
    <row r="490" spans="7:10" x14ac:dyDescent="0.3">
      <c r="G490" s="28"/>
      <c r="H490" s="28"/>
      <c r="I490" s="28"/>
      <c r="J490" s="31"/>
    </row>
    <row r="491" spans="7:10" x14ac:dyDescent="0.3">
      <c r="G491" s="28"/>
      <c r="H491" s="28"/>
      <c r="I491" s="28"/>
      <c r="J491" s="31"/>
    </row>
    <row r="492" spans="7:10" x14ac:dyDescent="0.3">
      <c r="G492" s="28"/>
      <c r="H492" s="28"/>
      <c r="I492" s="28"/>
      <c r="J492" s="31"/>
    </row>
    <row r="493" spans="7:10" x14ac:dyDescent="0.3">
      <c r="G493" s="28"/>
      <c r="H493" s="28"/>
      <c r="I493" s="28"/>
      <c r="J493" s="31"/>
    </row>
    <row r="494" spans="7:10" x14ac:dyDescent="0.3">
      <c r="G494" s="28"/>
      <c r="H494" s="28"/>
      <c r="I494" s="28"/>
      <c r="J494" s="31"/>
    </row>
    <row r="495" spans="7:10" x14ac:dyDescent="0.3">
      <c r="G495" s="28"/>
      <c r="H495" s="28"/>
      <c r="I495" s="28"/>
      <c r="J495" s="31"/>
    </row>
    <row r="496" spans="7:10" x14ac:dyDescent="0.3">
      <c r="G496" s="28"/>
      <c r="H496" s="28"/>
      <c r="I496" s="28"/>
      <c r="J496" s="31"/>
    </row>
    <row r="497" spans="7:10" x14ac:dyDescent="0.3">
      <c r="G497" s="28"/>
      <c r="H497" s="28"/>
      <c r="I497" s="28"/>
      <c r="J497" s="31"/>
    </row>
    <row r="498" spans="7:10" x14ac:dyDescent="0.3">
      <c r="G498" s="28"/>
      <c r="H498" s="28"/>
      <c r="I498" s="28"/>
      <c r="J498" s="31"/>
    </row>
    <row r="499" spans="7:10" x14ac:dyDescent="0.3">
      <c r="G499" s="28"/>
      <c r="H499" s="28"/>
      <c r="I499" s="28"/>
      <c r="J499" s="31"/>
    </row>
    <row r="500" spans="7:10" x14ac:dyDescent="0.3">
      <c r="G500" s="28"/>
      <c r="H500" s="28"/>
      <c r="I500" s="28"/>
      <c r="J500" s="31"/>
    </row>
    <row r="501" spans="7:10" x14ac:dyDescent="0.3">
      <c r="G501" s="28"/>
      <c r="H501" s="28"/>
      <c r="I501" s="28"/>
      <c r="J501" s="31"/>
    </row>
    <row r="502" spans="7:10" x14ac:dyDescent="0.3">
      <c r="G502" s="28"/>
      <c r="H502" s="28"/>
      <c r="I502" s="28"/>
      <c r="J502" s="31"/>
    </row>
    <row r="503" spans="7:10" x14ac:dyDescent="0.3">
      <c r="G503" s="28"/>
      <c r="H503" s="28"/>
      <c r="I503" s="28"/>
      <c r="J503" s="31"/>
    </row>
    <row r="504" spans="7:10" x14ac:dyDescent="0.3">
      <c r="G504" s="28"/>
      <c r="H504" s="28"/>
      <c r="I504" s="28"/>
      <c r="J504" s="31"/>
    </row>
    <row r="505" spans="7:10" x14ac:dyDescent="0.3">
      <c r="G505" s="28"/>
      <c r="H505" s="28"/>
      <c r="I505" s="28"/>
      <c r="J505" s="31"/>
    </row>
    <row r="506" spans="7:10" x14ac:dyDescent="0.3">
      <c r="G506" s="28"/>
      <c r="H506" s="28"/>
      <c r="I506" s="28"/>
      <c r="J506" s="31"/>
    </row>
    <row r="507" spans="7:10" x14ac:dyDescent="0.3">
      <c r="G507" s="28"/>
      <c r="H507" s="28"/>
      <c r="I507" s="28"/>
      <c r="J507" s="31"/>
    </row>
    <row r="508" spans="7:10" x14ac:dyDescent="0.3">
      <c r="G508" s="28"/>
      <c r="H508" s="28"/>
      <c r="I508" s="28"/>
      <c r="J508" s="31"/>
    </row>
    <row r="509" spans="7:10" x14ac:dyDescent="0.3">
      <c r="G509" s="28"/>
      <c r="H509" s="28"/>
      <c r="I509" s="28"/>
      <c r="J509" s="31"/>
    </row>
    <row r="510" spans="7:10" x14ac:dyDescent="0.3">
      <c r="G510" s="28"/>
      <c r="H510" s="28"/>
      <c r="I510" s="28"/>
      <c r="J510" s="31"/>
    </row>
    <row r="511" spans="7:10" x14ac:dyDescent="0.3">
      <c r="G511" s="28"/>
      <c r="H511" s="28"/>
      <c r="I511" s="28"/>
      <c r="J511" s="31"/>
    </row>
    <row r="512" spans="7:10" x14ac:dyDescent="0.3">
      <c r="G512" s="28"/>
      <c r="H512" s="28"/>
      <c r="I512" s="28"/>
      <c r="J512" s="31"/>
    </row>
    <row r="513" spans="7:10" x14ac:dyDescent="0.3">
      <c r="G513" s="28"/>
      <c r="H513" s="28"/>
      <c r="I513" s="28"/>
      <c r="J513" s="31"/>
    </row>
    <row r="514" spans="7:10" x14ac:dyDescent="0.3">
      <c r="G514" s="28"/>
      <c r="H514" s="28"/>
      <c r="I514" s="28"/>
      <c r="J514" s="31"/>
    </row>
    <row r="515" spans="7:10" x14ac:dyDescent="0.3">
      <c r="G515" s="28"/>
      <c r="H515" s="28"/>
      <c r="I515" s="28"/>
      <c r="J515" s="31"/>
    </row>
    <row r="516" spans="7:10" x14ac:dyDescent="0.3">
      <c r="G516" s="28"/>
      <c r="H516" s="28"/>
      <c r="I516" s="28"/>
      <c r="J516" s="31"/>
    </row>
    <row r="517" spans="7:10" x14ac:dyDescent="0.3">
      <c r="G517" s="28"/>
      <c r="H517" s="28"/>
      <c r="I517" s="28"/>
      <c r="J517" s="31"/>
    </row>
    <row r="518" spans="7:10" x14ac:dyDescent="0.3">
      <c r="G518" s="28"/>
      <c r="H518" s="28"/>
      <c r="I518" s="28"/>
      <c r="J518" s="31"/>
    </row>
    <row r="519" spans="7:10" x14ac:dyDescent="0.3">
      <c r="G519" s="28"/>
      <c r="H519" s="28"/>
      <c r="I519" s="28"/>
      <c r="J519" s="31"/>
    </row>
    <row r="520" spans="7:10" x14ac:dyDescent="0.3">
      <c r="G520" s="28"/>
      <c r="H520" s="28"/>
      <c r="I520" s="28"/>
      <c r="J520" s="31"/>
    </row>
    <row r="521" spans="7:10" x14ac:dyDescent="0.3">
      <c r="G521" s="28"/>
      <c r="H521" s="28"/>
      <c r="I521" s="28"/>
      <c r="J521" s="31"/>
    </row>
    <row r="522" spans="7:10" x14ac:dyDescent="0.3">
      <c r="G522" s="28"/>
      <c r="H522" s="28"/>
      <c r="I522" s="28"/>
      <c r="J522" s="31"/>
    </row>
    <row r="523" spans="7:10" x14ac:dyDescent="0.3">
      <c r="G523" s="28"/>
      <c r="H523" s="28"/>
      <c r="I523" s="28"/>
      <c r="J523" s="31"/>
    </row>
    <row r="524" spans="7:10" x14ac:dyDescent="0.3">
      <c r="G524" s="28"/>
      <c r="H524" s="28"/>
      <c r="I524" s="28"/>
      <c r="J524" s="31"/>
    </row>
    <row r="525" spans="7:10" x14ac:dyDescent="0.3">
      <c r="G525" s="28"/>
      <c r="H525" s="28"/>
      <c r="I525" s="28"/>
      <c r="J525" s="31"/>
    </row>
    <row r="526" spans="7:10" x14ac:dyDescent="0.3">
      <c r="G526" s="28"/>
      <c r="H526" s="28"/>
      <c r="I526" s="28"/>
      <c r="J526" s="31"/>
    </row>
    <row r="527" spans="7:10" x14ac:dyDescent="0.3">
      <c r="G527" s="28"/>
      <c r="H527" s="28"/>
      <c r="I527" s="28"/>
      <c r="J527" s="31"/>
    </row>
    <row r="528" spans="7:10" x14ac:dyDescent="0.3">
      <c r="G528" s="28"/>
      <c r="H528" s="28"/>
      <c r="I528" s="28"/>
      <c r="J528" s="31"/>
    </row>
    <row r="529" spans="7:10" x14ac:dyDescent="0.3">
      <c r="G529" s="28"/>
      <c r="H529" s="28"/>
      <c r="I529" s="28"/>
      <c r="J529" s="31"/>
    </row>
    <row r="530" spans="7:10" x14ac:dyDescent="0.3">
      <c r="G530" s="28"/>
      <c r="H530" s="28"/>
      <c r="I530" s="28"/>
      <c r="J530" s="31"/>
    </row>
    <row r="531" spans="7:10" x14ac:dyDescent="0.3">
      <c r="G531" s="28"/>
      <c r="H531" s="28"/>
      <c r="I531" s="28"/>
      <c r="J531" s="31"/>
    </row>
    <row r="532" spans="7:10" x14ac:dyDescent="0.3">
      <c r="G532" s="28"/>
      <c r="H532" s="28"/>
      <c r="I532" s="28"/>
      <c r="J532" s="31"/>
    </row>
    <row r="533" spans="7:10" x14ac:dyDescent="0.3">
      <c r="G533" s="28"/>
      <c r="H533" s="28"/>
      <c r="I533" s="28"/>
      <c r="J533" s="31"/>
    </row>
    <row r="534" spans="7:10" x14ac:dyDescent="0.3">
      <c r="G534" s="28"/>
      <c r="H534" s="28"/>
      <c r="I534" s="28"/>
      <c r="J534" s="31"/>
    </row>
    <row r="535" spans="7:10" x14ac:dyDescent="0.3">
      <c r="G535" s="28"/>
      <c r="H535" s="28"/>
      <c r="I535" s="28"/>
      <c r="J535" s="31"/>
    </row>
    <row r="536" spans="7:10" x14ac:dyDescent="0.3">
      <c r="G536" s="28"/>
      <c r="H536" s="28"/>
      <c r="I536" s="28"/>
      <c r="J536" s="31"/>
    </row>
    <row r="537" spans="7:10" x14ac:dyDescent="0.3">
      <c r="G537" s="28"/>
      <c r="H537" s="28"/>
      <c r="I537" s="28"/>
      <c r="J537" s="31"/>
    </row>
    <row r="538" spans="7:10" x14ac:dyDescent="0.3">
      <c r="G538" s="28"/>
      <c r="H538" s="28"/>
      <c r="I538" s="28"/>
      <c r="J538" s="31"/>
    </row>
    <row r="539" spans="7:10" x14ac:dyDescent="0.3">
      <c r="G539" s="28"/>
      <c r="H539" s="28"/>
      <c r="I539" s="28"/>
      <c r="J539" s="31"/>
    </row>
    <row r="540" spans="7:10" x14ac:dyDescent="0.3">
      <c r="G540" s="28"/>
      <c r="H540" s="28"/>
      <c r="I540" s="28"/>
      <c r="J540" s="31"/>
    </row>
    <row r="541" spans="7:10" x14ac:dyDescent="0.3">
      <c r="G541" s="28"/>
      <c r="H541" s="28"/>
      <c r="I541" s="28"/>
      <c r="J541" s="31"/>
    </row>
    <row r="542" spans="7:10" x14ac:dyDescent="0.3">
      <c r="G542" s="28"/>
      <c r="H542" s="28"/>
      <c r="I542" s="28"/>
      <c r="J542" s="31"/>
    </row>
    <row r="543" spans="7:10" x14ac:dyDescent="0.3">
      <c r="G543" s="28"/>
      <c r="H543" s="28"/>
      <c r="I543" s="28"/>
      <c r="J543" s="31"/>
    </row>
    <row r="544" spans="7:10" x14ac:dyDescent="0.3">
      <c r="G544" s="28"/>
      <c r="H544" s="28"/>
      <c r="I544" s="28"/>
      <c r="J544" s="31"/>
    </row>
    <row r="545" spans="7:10" x14ac:dyDescent="0.3">
      <c r="G545" s="28"/>
      <c r="H545" s="28"/>
      <c r="I545" s="28"/>
      <c r="J545" s="31"/>
    </row>
    <row r="546" spans="7:10" x14ac:dyDescent="0.3">
      <c r="G546" s="28"/>
      <c r="H546" s="28"/>
      <c r="I546" s="28"/>
      <c r="J546" s="31"/>
    </row>
    <row r="547" spans="7:10" x14ac:dyDescent="0.3">
      <c r="G547" s="28"/>
      <c r="H547" s="28"/>
      <c r="I547" s="28"/>
      <c r="J547" s="31"/>
    </row>
    <row r="548" spans="7:10" x14ac:dyDescent="0.3">
      <c r="G548" s="28"/>
      <c r="H548" s="28"/>
      <c r="I548" s="28"/>
      <c r="J548" s="31"/>
    </row>
    <row r="549" spans="7:10" x14ac:dyDescent="0.3">
      <c r="G549" s="28"/>
      <c r="H549" s="28"/>
      <c r="I549" s="28"/>
      <c r="J549" s="31"/>
    </row>
    <row r="550" spans="7:10" x14ac:dyDescent="0.3">
      <c r="G550" s="28"/>
      <c r="H550" s="28"/>
      <c r="I550" s="28"/>
      <c r="J550" s="31"/>
    </row>
    <row r="551" spans="7:10" x14ac:dyDescent="0.3">
      <c r="G551" s="28"/>
      <c r="H551" s="28"/>
      <c r="I551" s="28"/>
      <c r="J551" s="31"/>
    </row>
    <row r="552" spans="7:10" x14ac:dyDescent="0.3">
      <c r="G552" s="28"/>
      <c r="H552" s="28"/>
      <c r="I552" s="28"/>
      <c r="J552" s="31"/>
    </row>
    <row r="553" spans="7:10" x14ac:dyDescent="0.3">
      <c r="G553" s="28"/>
      <c r="H553" s="28"/>
      <c r="I553" s="28"/>
      <c r="J553" s="31"/>
    </row>
    <row r="554" spans="7:10" x14ac:dyDescent="0.3">
      <c r="G554" s="28"/>
      <c r="H554" s="28"/>
      <c r="I554" s="28"/>
      <c r="J554" s="31"/>
    </row>
    <row r="555" spans="7:10" x14ac:dyDescent="0.3">
      <c r="G555" s="28"/>
      <c r="H555" s="28"/>
      <c r="I555" s="28"/>
      <c r="J555" s="31"/>
    </row>
    <row r="556" spans="7:10" x14ac:dyDescent="0.3">
      <c r="G556" s="28"/>
      <c r="H556" s="28"/>
      <c r="I556" s="28"/>
      <c r="J556" s="31"/>
    </row>
    <row r="557" spans="7:10" x14ac:dyDescent="0.3">
      <c r="G557" s="28"/>
      <c r="H557" s="28"/>
      <c r="I557" s="28"/>
      <c r="J557" s="31"/>
    </row>
    <row r="558" spans="7:10" x14ac:dyDescent="0.3">
      <c r="G558" s="28"/>
      <c r="H558" s="28"/>
      <c r="I558" s="28"/>
      <c r="J558" s="31"/>
    </row>
    <row r="559" spans="7:10" x14ac:dyDescent="0.3">
      <c r="G559" s="28"/>
      <c r="H559" s="28"/>
      <c r="I559" s="28"/>
      <c r="J559" s="31"/>
    </row>
    <row r="560" spans="7:10" x14ac:dyDescent="0.3">
      <c r="G560" s="28"/>
      <c r="H560" s="28"/>
      <c r="I560" s="28"/>
      <c r="J560" s="31"/>
    </row>
    <row r="561" spans="7:10" x14ac:dyDescent="0.3">
      <c r="G561" s="28"/>
      <c r="H561" s="28"/>
      <c r="I561" s="28"/>
      <c r="J561" s="31"/>
    </row>
    <row r="562" spans="7:10" x14ac:dyDescent="0.3">
      <c r="G562" s="28"/>
      <c r="H562" s="28"/>
      <c r="I562" s="28"/>
      <c r="J562" s="31"/>
    </row>
    <row r="563" spans="7:10" x14ac:dyDescent="0.3">
      <c r="G563" s="28"/>
      <c r="H563" s="28"/>
      <c r="I563" s="28"/>
      <c r="J563" s="31"/>
    </row>
    <row r="564" spans="7:10" x14ac:dyDescent="0.3">
      <c r="G564" s="28"/>
      <c r="H564" s="28"/>
      <c r="I564" s="28"/>
      <c r="J564" s="31"/>
    </row>
    <row r="565" spans="7:10" x14ac:dyDescent="0.3">
      <c r="G565" s="28"/>
      <c r="H565" s="28"/>
      <c r="I565" s="28"/>
      <c r="J565" s="31"/>
    </row>
    <row r="566" spans="7:10" x14ac:dyDescent="0.3">
      <c r="G566" s="28"/>
      <c r="H566" s="28"/>
      <c r="I566" s="28"/>
      <c r="J566" s="31"/>
    </row>
    <row r="567" spans="7:10" x14ac:dyDescent="0.3">
      <c r="G567" s="28"/>
      <c r="H567" s="28"/>
      <c r="I567" s="28"/>
      <c r="J567" s="31"/>
    </row>
    <row r="568" spans="7:10" x14ac:dyDescent="0.3">
      <c r="G568" s="28"/>
      <c r="H568" s="28"/>
      <c r="I568" s="28"/>
      <c r="J568" s="31"/>
    </row>
    <row r="569" spans="7:10" x14ac:dyDescent="0.3">
      <c r="G569" s="28"/>
      <c r="H569" s="28"/>
      <c r="I569" s="28"/>
      <c r="J569" s="31"/>
    </row>
    <row r="570" spans="7:10" x14ac:dyDescent="0.3">
      <c r="G570" s="28"/>
      <c r="H570" s="28"/>
      <c r="I570" s="28"/>
      <c r="J570" s="31"/>
    </row>
    <row r="571" spans="7:10" x14ac:dyDescent="0.3">
      <c r="G571" s="28"/>
      <c r="H571" s="28"/>
      <c r="I571" s="28"/>
      <c r="J571" s="31"/>
    </row>
    <row r="572" spans="7:10" x14ac:dyDescent="0.3">
      <c r="G572" s="28"/>
      <c r="H572" s="28"/>
      <c r="I572" s="28"/>
      <c r="J572" s="31"/>
    </row>
    <row r="573" spans="7:10" x14ac:dyDescent="0.3">
      <c r="G573" s="28"/>
      <c r="H573" s="28"/>
      <c r="I573" s="28"/>
      <c r="J573" s="31"/>
    </row>
    <row r="574" spans="7:10" x14ac:dyDescent="0.3">
      <c r="G574" s="28"/>
      <c r="H574" s="28"/>
      <c r="I574" s="28"/>
      <c r="J574" s="31"/>
    </row>
    <row r="575" spans="7:10" x14ac:dyDescent="0.3">
      <c r="G575" s="28"/>
      <c r="H575" s="28"/>
      <c r="I575" s="28"/>
      <c r="J575" s="31"/>
    </row>
    <row r="576" spans="7:10" x14ac:dyDescent="0.3">
      <c r="G576" s="28"/>
      <c r="H576" s="28"/>
      <c r="I576" s="28"/>
      <c r="J576" s="31"/>
    </row>
    <row r="577" spans="7:10" x14ac:dyDescent="0.3">
      <c r="G577" s="28"/>
      <c r="H577" s="28"/>
      <c r="I577" s="28"/>
      <c r="J577" s="31"/>
    </row>
    <row r="578" spans="7:10" x14ac:dyDescent="0.3">
      <c r="G578" s="28"/>
      <c r="H578" s="28"/>
      <c r="I578" s="28"/>
      <c r="J578" s="31"/>
    </row>
    <row r="579" spans="7:10" x14ac:dyDescent="0.3">
      <c r="G579" s="28"/>
      <c r="H579" s="28"/>
      <c r="I579" s="28"/>
      <c r="J579" s="31"/>
    </row>
    <row r="580" spans="7:10" x14ac:dyDescent="0.3">
      <c r="G580" s="28"/>
      <c r="H580" s="28"/>
      <c r="I580" s="28"/>
      <c r="J580" s="31"/>
    </row>
    <row r="581" spans="7:10" x14ac:dyDescent="0.3">
      <c r="G581" s="28"/>
      <c r="H581" s="28"/>
      <c r="I581" s="28"/>
      <c r="J581" s="31"/>
    </row>
    <row r="582" spans="7:10" x14ac:dyDescent="0.3">
      <c r="G582" s="28"/>
      <c r="H582" s="28"/>
      <c r="I582" s="28"/>
      <c r="J582" s="31"/>
    </row>
    <row r="583" spans="7:10" x14ac:dyDescent="0.3">
      <c r="G583" s="28"/>
      <c r="H583" s="28"/>
      <c r="I583" s="28"/>
      <c r="J583" s="31"/>
    </row>
    <row r="584" spans="7:10" x14ac:dyDescent="0.3">
      <c r="G584" s="28"/>
      <c r="H584" s="28"/>
      <c r="I584" s="28"/>
      <c r="J584" s="31"/>
    </row>
    <row r="585" spans="7:10" x14ac:dyDescent="0.3">
      <c r="G585" s="28"/>
      <c r="H585" s="28"/>
      <c r="I585" s="28"/>
      <c r="J585" s="31"/>
    </row>
    <row r="586" spans="7:10" x14ac:dyDescent="0.3">
      <c r="G586" s="28"/>
      <c r="H586" s="28"/>
      <c r="I586" s="28"/>
      <c r="J586" s="31"/>
    </row>
    <row r="587" spans="7:10" x14ac:dyDescent="0.3">
      <c r="G587" s="28"/>
      <c r="H587" s="28"/>
      <c r="I587" s="28"/>
      <c r="J587" s="31"/>
    </row>
    <row r="588" spans="7:10" x14ac:dyDescent="0.3">
      <c r="G588" s="28"/>
      <c r="H588" s="28"/>
      <c r="I588" s="28"/>
      <c r="J588" s="31"/>
    </row>
    <row r="589" spans="7:10" x14ac:dyDescent="0.3">
      <c r="G589" s="28"/>
      <c r="H589" s="28"/>
      <c r="I589" s="28"/>
      <c r="J589" s="31"/>
    </row>
    <row r="590" spans="7:10" x14ac:dyDescent="0.3">
      <c r="G590" s="28"/>
      <c r="H590" s="28"/>
      <c r="I590" s="28"/>
      <c r="J590" s="31"/>
    </row>
    <row r="591" spans="7:10" x14ac:dyDescent="0.3">
      <c r="G591" s="28"/>
      <c r="H591" s="28"/>
      <c r="I591" s="28"/>
      <c r="J591" s="31"/>
    </row>
    <row r="592" spans="7:10" x14ac:dyDescent="0.3">
      <c r="G592" s="28"/>
      <c r="H592" s="28"/>
      <c r="I592" s="28"/>
      <c r="J592" s="31"/>
    </row>
    <row r="593" spans="7:10" x14ac:dyDescent="0.3">
      <c r="G593" s="28"/>
      <c r="H593" s="28"/>
      <c r="I593" s="28"/>
      <c r="J593" s="31"/>
    </row>
    <row r="594" spans="7:10" x14ac:dyDescent="0.3">
      <c r="G594" s="28"/>
      <c r="H594" s="28"/>
      <c r="I594" s="28"/>
      <c r="J594" s="31"/>
    </row>
    <row r="595" spans="7:10" x14ac:dyDescent="0.3">
      <c r="G595" s="28"/>
      <c r="H595" s="28"/>
      <c r="I595" s="28"/>
      <c r="J595" s="31"/>
    </row>
    <row r="596" spans="7:10" x14ac:dyDescent="0.3">
      <c r="G596" s="28"/>
      <c r="H596" s="28"/>
      <c r="I596" s="28"/>
      <c r="J596" s="31"/>
    </row>
    <row r="597" spans="7:10" x14ac:dyDescent="0.3">
      <c r="G597" s="28"/>
      <c r="H597" s="28"/>
      <c r="I597" s="28"/>
      <c r="J597" s="31"/>
    </row>
    <row r="598" spans="7:10" x14ac:dyDescent="0.3">
      <c r="G598" s="28"/>
      <c r="H598" s="28"/>
      <c r="I598" s="28"/>
      <c r="J598" s="31"/>
    </row>
    <row r="599" spans="7:10" x14ac:dyDescent="0.3">
      <c r="G599" s="28"/>
      <c r="H599" s="28"/>
      <c r="I599" s="28"/>
      <c r="J599" s="31"/>
    </row>
    <row r="600" spans="7:10" x14ac:dyDescent="0.3">
      <c r="G600" s="28"/>
      <c r="H600" s="28"/>
      <c r="I600" s="28"/>
      <c r="J600" s="31"/>
    </row>
    <row r="601" spans="7:10" x14ac:dyDescent="0.3">
      <c r="G601" s="28"/>
      <c r="H601" s="28"/>
      <c r="I601" s="28"/>
      <c r="J601" s="31"/>
    </row>
    <row r="602" spans="7:10" x14ac:dyDescent="0.3">
      <c r="G602" s="28"/>
      <c r="H602" s="28"/>
      <c r="I602" s="28"/>
      <c r="J602" s="31"/>
    </row>
    <row r="603" spans="7:10" x14ac:dyDescent="0.3">
      <c r="G603" s="28"/>
      <c r="H603" s="28"/>
      <c r="I603" s="28"/>
      <c r="J603" s="31"/>
    </row>
    <row r="604" spans="7:10" x14ac:dyDescent="0.3">
      <c r="G604" s="28"/>
      <c r="H604" s="28"/>
      <c r="I604" s="28"/>
      <c r="J604" s="31"/>
    </row>
    <row r="605" spans="7:10" x14ac:dyDescent="0.3">
      <c r="G605" s="28"/>
      <c r="H605" s="28"/>
      <c r="I605" s="28"/>
      <c r="J605" s="31"/>
    </row>
    <row r="606" spans="7:10" x14ac:dyDescent="0.3">
      <c r="G606" s="28"/>
      <c r="H606" s="28"/>
      <c r="I606" s="28"/>
      <c r="J606" s="31"/>
    </row>
    <row r="607" spans="7:10" x14ac:dyDescent="0.3">
      <c r="G607" s="28"/>
      <c r="H607" s="28"/>
      <c r="I607" s="28"/>
      <c r="J607" s="31"/>
    </row>
    <row r="608" spans="7:10" x14ac:dyDescent="0.3">
      <c r="G608" s="28"/>
      <c r="H608" s="28"/>
      <c r="I608" s="28"/>
      <c r="J608" s="31"/>
    </row>
    <row r="609" spans="7:10" x14ac:dyDescent="0.3">
      <c r="G609" s="28"/>
      <c r="H609" s="28"/>
      <c r="I609" s="28"/>
      <c r="J609" s="31"/>
    </row>
    <row r="610" spans="7:10" x14ac:dyDescent="0.3">
      <c r="G610" s="28"/>
      <c r="H610" s="28"/>
      <c r="I610" s="28"/>
      <c r="J610" s="31"/>
    </row>
    <row r="611" spans="7:10" x14ac:dyDescent="0.3">
      <c r="G611" s="28"/>
      <c r="H611" s="28"/>
      <c r="I611" s="28"/>
      <c r="J611" s="31"/>
    </row>
    <row r="612" spans="7:10" x14ac:dyDescent="0.3">
      <c r="G612" s="28"/>
      <c r="H612" s="28"/>
      <c r="I612" s="28"/>
      <c r="J612" s="31"/>
    </row>
    <row r="613" spans="7:10" x14ac:dyDescent="0.3">
      <c r="G613" s="28"/>
      <c r="H613" s="28"/>
      <c r="I613" s="28"/>
      <c r="J613" s="31"/>
    </row>
    <row r="614" spans="7:10" x14ac:dyDescent="0.3">
      <c r="G614" s="28"/>
      <c r="H614" s="28"/>
      <c r="I614" s="28"/>
      <c r="J614" s="31"/>
    </row>
    <row r="615" spans="7:10" x14ac:dyDescent="0.3">
      <c r="G615" s="28"/>
      <c r="H615" s="28"/>
      <c r="I615" s="28"/>
      <c r="J615" s="31"/>
    </row>
    <row r="616" spans="7:10" x14ac:dyDescent="0.3">
      <c r="G616" s="28"/>
      <c r="H616" s="28"/>
      <c r="I616" s="28"/>
      <c r="J616" s="31"/>
    </row>
    <row r="617" spans="7:10" x14ac:dyDescent="0.3">
      <c r="G617" s="28"/>
      <c r="H617" s="28"/>
      <c r="I617" s="28"/>
      <c r="J617" s="31"/>
    </row>
    <row r="618" spans="7:10" x14ac:dyDescent="0.3">
      <c r="G618" s="28"/>
      <c r="H618" s="28"/>
      <c r="I618" s="28"/>
      <c r="J618" s="31"/>
    </row>
    <row r="619" spans="7:10" x14ac:dyDescent="0.3">
      <c r="G619" s="28"/>
      <c r="H619" s="28"/>
      <c r="I619" s="28"/>
      <c r="J619" s="31"/>
    </row>
    <row r="620" spans="7:10" x14ac:dyDescent="0.3">
      <c r="G620" s="28"/>
      <c r="H620" s="28"/>
      <c r="I620" s="28"/>
      <c r="J620" s="31"/>
    </row>
    <row r="621" spans="7:10" x14ac:dyDescent="0.3">
      <c r="G621" s="28"/>
      <c r="H621" s="28"/>
      <c r="I621" s="28"/>
      <c r="J621" s="31"/>
    </row>
    <row r="622" spans="7:10" x14ac:dyDescent="0.3">
      <c r="G622" s="28"/>
      <c r="H622" s="28"/>
      <c r="I622" s="28"/>
      <c r="J622" s="31"/>
    </row>
    <row r="623" spans="7:10" x14ac:dyDescent="0.3">
      <c r="G623" s="28"/>
      <c r="H623" s="28"/>
      <c r="I623" s="28"/>
      <c r="J623" s="31"/>
    </row>
    <row r="624" spans="7:10" x14ac:dyDescent="0.3">
      <c r="G624" s="28"/>
      <c r="H624" s="28"/>
      <c r="I624" s="28"/>
      <c r="J624" s="31"/>
    </row>
    <row r="625" spans="7:10" x14ac:dyDescent="0.3">
      <c r="G625" s="28"/>
      <c r="H625" s="28"/>
      <c r="I625" s="28"/>
      <c r="J625" s="31"/>
    </row>
    <row r="626" spans="7:10" x14ac:dyDescent="0.3">
      <c r="G626" s="28"/>
      <c r="H626" s="28"/>
      <c r="I626" s="28"/>
      <c r="J626" s="31"/>
    </row>
    <row r="627" spans="7:10" x14ac:dyDescent="0.3">
      <c r="G627" s="28"/>
      <c r="H627" s="28"/>
      <c r="I627" s="28"/>
      <c r="J627" s="31"/>
    </row>
    <row r="628" spans="7:10" x14ac:dyDescent="0.3">
      <c r="G628" s="28"/>
      <c r="H628" s="28"/>
      <c r="I628" s="28"/>
      <c r="J628" s="31"/>
    </row>
    <row r="629" spans="7:10" x14ac:dyDescent="0.3">
      <c r="G629" s="28"/>
      <c r="H629" s="28"/>
      <c r="I629" s="28"/>
      <c r="J629" s="31"/>
    </row>
    <row r="630" spans="7:10" x14ac:dyDescent="0.3">
      <c r="G630" s="28"/>
      <c r="H630" s="28"/>
      <c r="I630" s="28"/>
      <c r="J630" s="31"/>
    </row>
    <row r="631" spans="7:10" x14ac:dyDescent="0.3">
      <c r="G631" s="28"/>
      <c r="H631" s="28"/>
      <c r="I631" s="28"/>
      <c r="J631" s="31"/>
    </row>
    <row r="632" spans="7:10" x14ac:dyDescent="0.3">
      <c r="G632" s="28"/>
      <c r="H632" s="28"/>
      <c r="I632" s="28"/>
      <c r="J632" s="31"/>
    </row>
    <row r="633" spans="7:10" x14ac:dyDescent="0.3">
      <c r="G633" s="28"/>
      <c r="H633" s="28"/>
      <c r="I633" s="28"/>
      <c r="J633" s="31"/>
    </row>
    <row r="634" spans="7:10" x14ac:dyDescent="0.3">
      <c r="G634" s="28"/>
      <c r="H634" s="28"/>
      <c r="I634" s="28"/>
      <c r="J634" s="31"/>
    </row>
    <row r="635" spans="7:10" x14ac:dyDescent="0.3">
      <c r="G635" s="28"/>
      <c r="H635" s="28"/>
      <c r="I635" s="28"/>
      <c r="J635" s="31"/>
    </row>
    <row r="636" spans="7:10" x14ac:dyDescent="0.3">
      <c r="G636" s="28"/>
      <c r="H636" s="28"/>
      <c r="I636" s="28"/>
      <c r="J636" s="31"/>
    </row>
    <row r="637" spans="7:10" x14ac:dyDescent="0.3">
      <c r="G637" s="28"/>
      <c r="H637" s="28"/>
      <c r="I637" s="28"/>
      <c r="J637" s="31"/>
    </row>
    <row r="638" spans="7:10" x14ac:dyDescent="0.3">
      <c r="G638" s="28"/>
      <c r="H638" s="28"/>
      <c r="I638" s="28"/>
      <c r="J638" s="31"/>
    </row>
    <row r="639" spans="7:10" x14ac:dyDescent="0.3">
      <c r="G639" s="28"/>
      <c r="H639" s="28"/>
      <c r="I639" s="28"/>
      <c r="J639" s="31"/>
    </row>
    <row r="640" spans="7:10" x14ac:dyDescent="0.3">
      <c r="G640" s="28"/>
      <c r="H640" s="28"/>
      <c r="I640" s="28"/>
      <c r="J640" s="31"/>
    </row>
    <row r="641" spans="7:10" x14ac:dyDescent="0.3">
      <c r="G641" s="28"/>
      <c r="H641" s="28"/>
      <c r="I641" s="28"/>
      <c r="J641" s="31"/>
    </row>
    <row r="642" spans="7:10" x14ac:dyDescent="0.3">
      <c r="G642" s="28"/>
      <c r="H642" s="28"/>
      <c r="I642" s="28"/>
      <c r="J642" s="31"/>
    </row>
    <row r="643" spans="7:10" x14ac:dyDescent="0.3">
      <c r="G643" s="28"/>
      <c r="H643" s="28"/>
      <c r="I643" s="28"/>
      <c r="J643" s="31"/>
    </row>
    <row r="644" spans="7:10" x14ac:dyDescent="0.3">
      <c r="G644" s="28"/>
      <c r="H644" s="28"/>
      <c r="I644" s="28"/>
      <c r="J644" s="31"/>
    </row>
    <row r="645" spans="7:10" x14ac:dyDescent="0.3">
      <c r="G645" s="28"/>
      <c r="H645" s="28"/>
      <c r="I645" s="28"/>
      <c r="J645" s="31"/>
    </row>
    <row r="646" spans="7:10" x14ac:dyDescent="0.3">
      <c r="G646" s="28"/>
      <c r="H646" s="28"/>
      <c r="I646" s="28"/>
      <c r="J646" s="31"/>
    </row>
    <row r="647" spans="7:10" x14ac:dyDescent="0.3">
      <c r="G647" s="28"/>
      <c r="H647" s="28"/>
      <c r="I647" s="28"/>
      <c r="J647" s="31"/>
    </row>
    <row r="648" spans="7:10" x14ac:dyDescent="0.3">
      <c r="G648" s="28"/>
      <c r="H648" s="28"/>
      <c r="I648" s="28"/>
      <c r="J648" s="31"/>
    </row>
    <row r="649" spans="7:10" x14ac:dyDescent="0.3">
      <c r="G649" s="28"/>
      <c r="H649" s="28"/>
      <c r="I649" s="28"/>
      <c r="J649" s="31"/>
    </row>
    <row r="650" spans="7:10" x14ac:dyDescent="0.3">
      <c r="G650" s="28"/>
      <c r="H650" s="28"/>
      <c r="I650" s="28"/>
      <c r="J650" s="31"/>
    </row>
    <row r="651" spans="7:10" x14ac:dyDescent="0.3">
      <c r="G651" s="28"/>
      <c r="H651" s="28"/>
      <c r="I651" s="28"/>
      <c r="J651" s="31"/>
    </row>
    <row r="652" spans="7:10" x14ac:dyDescent="0.3">
      <c r="G652" s="28"/>
      <c r="H652" s="28"/>
      <c r="I652" s="28"/>
      <c r="J652" s="31"/>
    </row>
    <row r="653" spans="7:10" x14ac:dyDescent="0.3">
      <c r="G653" s="28"/>
      <c r="H653" s="28"/>
      <c r="I653" s="28"/>
      <c r="J653" s="31"/>
    </row>
    <row r="654" spans="7:10" x14ac:dyDescent="0.3">
      <c r="G654" s="28"/>
      <c r="H654" s="28"/>
      <c r="I654" s="28"/>
      <c r="J654" s="31"/>
    </row>
    <row r="655" spans="7:10" x14ac:dyDescent="0.3">
      <c r="G655" s="28"/>
      <c r="H655" s="28"/>
      <c r="I655" s="28"/>
      <c r="J655" s="31"/>
    </row>
    <row r="656" spans="7:10" x14ac:dyDescent="0.3">
      <c r="G656" s="28"/>
      <c r="H656" s="28"/>
      <c r="I656" s="28"/>
      <c r="J656" s="31"/>
    </row>
    <row r="657" spans="7:10" x14ac:dyDescent="0.3">
      <c r="G657" s="28"/>
      <c r="H657" s="28"/>
      <c r="I657" s="28"/>
      <c r="J657" s="31"/>
    </row>
    <row r="658" spans="7:10" x14ac:dyDescent="0.3">
      <c r="G658" s="28"/>
      <c r="H658" s="28"/>
      <c r="I658" s="28"/>
      <c r="J658" s="31"/>
    </row>
    <row r="659" spans="7:10" x14ac:dyDescent="0.3">
      <c r="G659" s="28"/>
      <c r="H659" s="28"/>
      <c r="I659" s="28"/>
      <c r="J659" s="31"/>
    </row>
    <row r="660" spans="7:10" x14ac:dyDescent="0.3">
      <c r="G660" s="28"/>
      <c r="H660" s="28"/>
      <c r="I660" s="28"/>
      <c r="J660" s="31"/>
    </row>
    <row r="661" spans="7:10" x14ac:dyDescent="0.3">
      <c r="G661" s="28"/>
      <c r="H661" s="28"/>
      <c r="I661" s="28"/>
      <c r="J661" s="31"/>
    </row>
    <row r="662" spans="7:10" x14ac:dyDescent="0.3">
      <c r="G662" s="28"/>
      <c r="H662" s="28"/>
      <c r="I662" s="28"/>
      <c r="J662" s="31"/>
    </row>
    <row r="663" spans="7:10" x14ac:dyDescent="0.3">
      <c r="G663" s="28"/>
      <c r="H663" s="28"/>
      <c r="I663" s="28"/>
      <c r="J663" s="31"/>
    </row>
    <row r="664" spans="7:10" x14ac:dyDescent="0.3">
      <c r="G664" s="28"/>
      <c r="H664" s="28"/>
      <c r="I664" s="28"/>
      <c r="J664" s="31"/>
    </row>
    <row r="665" spans="7:10" x14ac:dyDescent="0.3">
      <c r="G665" s="28"/>
      <c r="H665" s="28"/>
      <c r="I665" s="28"/>
      <c r="J665" s="31"/>
    </row>
    <row r="666" spans="7:10" x14ac:dyDescent="0.3">
      <c r="G666" s="28"/>
      <c r="H666" s="28"/>
      <c r="I666" s="28"/>
      <c r="J666" s="31"/>
    </row>
    <row r="667" spans="7:10" x14ac:dyDescent="0.3">
      <c r="G667" s="28"/>
      <c r="H667" s="28"/>
      <c r="I667" s="28"/>
      <c r="J667" s="31"/>
    </row>
    <row r="668" spans="7:10" x14ac:dyDescent="0.3">
      <c r="G668" s="28"/>
      <c r="H668" s="28"/>
      <c r="I668" s="28"/>
      <c r="J668" s="31"/>
    </row>
    <row r="669" spans="7:10" x14ac:dyDescent="0.3">
      <c r="G669" s="28"/>
      <c r="H669" s="28"/>
      <c r="I669" s="28"/>
      <c r="J669" s="31"/>
    </row>
    <row r="670" spans="7:10" x14ac:dyDescent="0.3">
      <c r="G670" s="28"/>
      <c r="H670" s="28"/>
      <c r="I670" s="28"/>
      <c r="J670" s="31"/>
    </row>
    <row r="671" spans="7:10" x14ac:dyDescent="0.3">
      <c r="G671" s="28"/>
      <c r="H671" s="28"/>
      <c r="I671" s="28"/>
      <c r="J671" s="31"/>
    </row>
    <row r="672" spans="7:10" x14ac:dyDescent="0.3">
      <c r="G672" s="28"/>
      <c r="H672" s="28"/>
      <c r="I672" s="28"/>
      <c r="J672" s="31"/>
    </row>
    <row r="673" spans="7:10" x14ac:dyDescent="0.3">
      <c r="G673" s="28"/>
      <c r="H673" s="28"/>
      <c r="I673" s="28"/>
      <c r="J673" s="31"/>
    </row>
    <row r="674" spans="7:10" x14ac:dyDescent="0.3">
      <c r="G674" s="28"/>
      <c r="H674" s="28"/>
      <c r="I674" s="28"/>
      <c r="J674" s="31"/>
    </row>
    <row r="675" spans="7:10" x14ac:dyDescent="0.3">
      <c r="G675" s="28"/>
      <c r="H675" s="28"/>
      <c r="I675" s="28"/>
      <c r="J675" s="31"/>
    </row>
    <row r="676" spans="7:10" x14ac:dyDescent="0.3">
      <c r="G676" s="28"/>
      <c r="H676" s="28"/>
      <c r="I676" s="28"/>
      <c r="J676" s="31"/>
    </row>
    <row r="677" spans="7:10" x14ac:dyDescent="0.3">
      <c r="G677" s="28"/>
      <c r="H677" s="28"/>
      <c r="I677" s="28"/>
      <c r="J677" s="31"/>
    </row>
    <row r="678" spans="7:10" x14ac:dyDescent="0.3">
      <c r="G678" s="28"/>
      <c r="H678" s="28"/>
      <c r="I678" s="28"/>
      <c r="J678" s="31"/>
    </row>
    <row r="679" spans="7:10" x14ac:dyDescent="0.3">
      <c r="G679" s="28"/>
      <c r="H679" s="28"/>
      <c r="I679" s="28"/>
      <c r="J679" s="31"/>
    </row>
    <row r="680" spans="7:10" x14ac:dyDescent="0.3">
      <c r="G680" s="28"/>
      <c r="H680" s="28"/>
      <c r="I680" s="28"/>
      <c r="J680" s="31"/>
    </row>
    <row r="681" spans="7:10" x14ac:dyDescent="0.3">
      <c r="G681" s="28"/>
      <c r="H681" s="28"/>
      <c r="I681" s="28"/>
      <c r="J681" s="31"/>
    </row>
    <row r="682" spans="7:10" x14ac:dyDescent="0.3">
      <c r="G682" s="28"/>
      <c r="H682" s="28"/>
      <c r="I682" s="28"/>
      <c r="J682" s="31"/>
    </row>
    <row r="683" spans="7:10" x14ac:dyDescent="0.3">
      <c r="G683" s="28"/>
      <c r="H683" s="28"/>
      <c r="I683" s="28"/>
      <c r="J683" s="31"/>
    </row>
    <row r="684" spans="7:10" x14ac:dyDescent="0.3">
      <c r="G684" s="28"/>
      <c r="H684" s="28"/>
      <c r="I684" s="28"/>
      <c r="J684" s="31"/>
    </row>
    <row r="685" spans="7:10" x14ac:dyDescent="0.3">
      <c r="G685" s="28"/>
      <c r="H685" s="28"/>
      <c r="I685" s="28"/>
      <c r="J685" s="31"/>
    </row>
    <row r="686" spans="7:10" x14ac:dyDescent="0.3">
      <c r="G686" s="28"/>
      <c r="H686" s="28"/>
      <c r="I686" s="28"/>
      <c r="J686" s="31"/>
    </row>
    <row r="687" spans="7:10" x14ac:dyDescent="0.3">
      <c r="G687" s="28"/>
      <c r="H687" s="28"/>
      <c r="I687" s="28"/>
      <c r="J687" s="31"/>
    </row>
    <row r="688" spans="7:10" x14ac:dyDescent="0.3">
      <c r="G688" s="28"/>
      <c r="H688" s="28"/>
      <c r="I688" s="28"/>
      <c r="J688" s="31"/>
    </row>
    <row r="689" spans="7:10" x14ac:dyDescent="0.3">
      <c r="G689" s="28"/>
      <c r="H689" s="28"/>
      <c r="I689" s="28"/>
      <c r="J689" s="31"/>
    </row>
    <row r="690" spans="7:10" x14ac:dyDescent="0.3">
      <c r="G690" s="28"/>
      <c r="H690" s="28"/>
      <c r="I690" s="28"/>
      <c r="J690" s="31"/>
    </row>
    <row r="691" spans="7:10" x14ac:dyDescent="0.3">
      <c r="G691" s="28"/>
      <c r="H691" s="28"/>
      <c r="I691" s="28"/>
      <c r="J691" s="31"/>
    </row>
    <row r="692" spans="7:10" x14ac:dyDescent="0.3">
      <c r="G692" s="28"/>
      <c r="H692" s="28"/>
      <c r="I692" s="28"/>
      <c r="J692" s="31"/>
    </row>
    <row r="693" spans="7:10" x14ac:dyDescent="0.3">
      <c r="G693" s="28"/>
      <c r="H693" s="28"/>
      <c r="I693" s="28"/>
      <c r="J693" s="31"/>
    </row>
    <row r="694" spans="7:10" x14ac:dyDescent="0.3">
      <c r="G694" s="28"/>
      <c r="H694" s="28"/>
      <c r="I694" s="28"/>
      <c r="J694" s="31"/>
    </row>
    <row r="695" spans="7:10" x14ac:dyDescent="0.3">
      <c r="G695" s="28"/>
      <c r="H695" s="28"/>
      <c r="I695" s="28"/>
      <c r="J695" s="31"/>
    </row>
    <row r="696" spans="7:10" x14ac:dyDescent="0.3">
      <c r="G696" s="28"/>
      <c r="H696" s="28"/>
      <c r="I696" s="28"/>
      <c r="J696" s="31"/>
    </row>
    <row r="697" spans="7:10" x14ac:dyDescent="0.3">
      <c r="G697" s="28"/>
      <c r="H697" s="28"/>
      <c r="I697" s="28"/>
      <c r="J697" s="31"/>
    </row>
    <row r="698" spans="7:10" x14ac:dyDescent="0.3">
      <c r="G698" s="28"/>
      <c r="H698" s="28"/>
      <c r="I698" s="28"/>
      <c r="J698" s="31"/>
    </row>
    <row r="699" spans="7:10" x14ac:dyDescent="0.3">
      <c r="G699" s="28"/>
      <c r="H699" s="28"/>
      <c r="I699" s="28"/>
      <c r="J699" s="31"/>
    </row>
    <row r="700" spans="7:10" x14ac:dyDescent="0.3">
      <c r="G700" s="28"/>
      <c r="H700" s="28"/>
      <c r="I700" s="28"/>
      <c r="J700" s="31"/>
    </row>
    <row r="701" spans="7:10" x14ac:dyDescent="0.3">
      <c r="G701" s="28"/>
      <c r="H701" s="28"/>
      <c r="I701" s="28"/>
      <c r="J701" s="31"/>
    </row>
    <row r="702" spans="7:10" x14ac:dyDescent="0.3">
      <c r="G702" s="28"/>
      <c r="H702" s="28"/>
      <c r="I702" s="28"/>
      <c r="J702" s="31"/>
    </row>
    <row r="703" spans="7:10" x14ac:dyDescent="0.3">
      <c r="G703" s="28"/>
      <c r="H703" s="28"/>
      <c r="I703" s="28"/>
      <c r="J703" s="31"/>
    </row>
    <row r="704" spans="7:10" x14ac:dyDescent="0.3">
      <c r="G704" s="28"/>
      <c r="H704" s="28"/>
      <c r="I704" s="28"/>
      <c r="J704" s="31"/>
    </row>
    <row r="705" spans="7:10" x14ac:dyDescent="0.3">
      <c r="G705" s="28"/>
      <c r="H705" s="28"/>
      <c r="I705" s="28"/>
      <c r="J705" s="31"/>
    </row>
    <row r="706" spans="7:10" x14ac:dyDescent="0.3">
      <c r="G706" s="28"/>
      <c r="H706" s="28"/>
      <c r="I706" s="28"/>
      <c r="J706" s="31"/>
    </row>
    <row r="707" spans="7:10" x14ac:dyDescent="0.3">
      <c r="G707" s="28"/>
      <c r="H707" s="28"/>
      <c r="I707" s="28"/>
      <c r="J707" s="31"/>
    </row>
    <row r="708" spans="7:10" x14ac:dyDescent="0.3">
      <c r="G708" s="28"/>
      <c r="H708" s="28"/>
      <c r="I708" s="28"/>
      <c r="J708" s="31"/>
    </row>
    <row r="709" spans="7:10" x14ac:dyDescent="0.3">
      <c r="G709" s="28"/>
      <c r="H709" s="28"/>
      <c r="I709" s="28"/>
      <c r="J709" s="31"/>
    </row>
    <row r="710" spans="7:10" x14ac:dyDescent="0.3">
      <c r="G710" s="28"/>
      <c r="H710" s="28"/>
      <c r="I710" s="28"/>
      <c r="J710" s="31"/>
    </row>
    <row r="711" spans="7:10" x14ac:dyDescent="0.3">
      <c r="G711" s="28"/>
      <c r="H711" s="28"/>
      <c r="I711" s="28"/>
      <c r="J711" s="31"/>
    </row>
    <row r="712" spans="7:10" x14ac:dyDescent="0.3">
      <c r="G712" s="28"/>
      <c r="H712" s="28"/>
      <c r="I712" s="28"/>
      <c r="J712" s="31"/>
    </row>
    <row r="713" spans="7:10" x14ac:dyDescent="0.3">
      <c r="G713" s="28"/>
      <c r="H713" s="28"/>
      <c r="I713" s="28"/>
      <c r="J713" s="31"/>
    </row>
    <row r="714" spans="7:10" x14ac:dyDescent="0.3">
      <c r="G714" s="28"/>
      <c r="H714" s="28"/>
      <c r="I714" s="28"/>
      <c r="J714" s="31"/>
    </row>
    <row r="715" spans="7:10" x14ac:dyDescent="0.3">
      <c r="G715" s="28"/>
      <c r="H715" s="28"/>
      <c r="I715" s="28"/>
      <c r="J715" s="31"/>
    </row>
    <row r="716" spans="7:10" x14ac:dyDescent="0.3">
      <c r="G716" s="28"/>
      <c r="H716" s="28"/>
      <c r="I716" s="28"/>
      <c r="J716" s="31"/>
    </row>
    <row r="717" spans="7:10" x14ac:dyDescent="0.3">
      <c r="G717" s="28"/>
      <c r="H717" s="28"/>
      <c r="I717" s="28"/>
      <c r="J717" s="31"/>
    </row>
    <row r="718" spans="7:10" x14ac:dyDescent="0.3">
      <c r="G718" s="28"/>
      <c r="H718" s="28"/>
      <c r="I718" s="28"/>
      <c r="J718" s="31"/>
    </row>
    <row r="719" spans="7:10" x14ac:dyDescent="0.3">
      <c r="G719" s="28"/>
      <c r="H719" s="28"/>
      <c r="I719" s="28"/>
      <c r="J719" s="31"/>
    </row>
    <row r="720" spans="7:10" x14ac:dyDescent="0.3">
      <c r="G720" s="28"/>
      <c r="H720" s="28"/>
      <c r="I720" s="28"/>
      <c r="J720" s="31"/>
    </row>
    <row r="721" spans="7:10" x14ac:dyDescent="0.3">
      <c r="G721" s="28"/>
      <c r="H721" s="28"/>
      <c r="I721" s="28"/>
      <c r="J721" s="31"/>
    </row>
    <row r="722" spans="7:10" x14ac:dyDescent="0.3">
      <c r="G722" s="28"/>
      <c r="H722" s="28"/>
      <c r="I722" s="28"/>
      <c r="J722" s="31"/>
    </row>
    <row r="723" spans="7:10" x14ac:dyDescent="0.3">
      <c r="G723" s="28"/>
      <c r="H723" s="28"/>
      <c r="I723" s="28"/>
      <c r="J723" s="31"/>
    </row>
    <row r="724" spans="7:10" x14ac:dyDescent="0.3">
      <c r="G724" s="28"/>
      <c r="H724" s="28"/>
      <c r="I724" s="28"/>
      <c r="J724" s="31"/>
    </row>
    <row r="725" spans="7:10" x14ac:dyDescent="0.3">
      <c r="G725" s="28"/>
      <c r="H725" s="28"/>
      <c r="I725" s="28"/>
      <c r="J725" s="31"/>
    </row>
    <row r="726" spans="7:10" x14ac:dyDescent="0.3">
      <c r="G726" s="28"/>
      <c r="H726" s="28"/>
      <c r="I726" s="28"/>
      <c r="J726" s="31"/>
    </row>
    <row r="727" spans="7:10" x14ac:dyDescent="0.3">
      <c r="G727" s="28"/>
      <c r="H727" s="28"/>
      <c r="I727" s="28"/>
      <c r="J727" s="31"/>
    </row>
    <row r="728" spans="7:10" x14ac:dyDescent="0.3">
      <c r="G728" s="28"/>
      <c r="H728" s="28"/>
      <c r="I728" s="28"/>
      <c r="J728" s="31"/>
    </row>
    <row r="729" spans="7:10" x14ac:dyDescent="0.3">
      <c r="G729" s="28"/>
      <c r="H729" s="28"/>
      <c r="I729" s="28"/>
      <c r="J729" s="31"/>
    </row>
    <row r="730" spans="7:10" x14ac:dyDescent="0.3">
      <c r="G730" s="28"/>
      <c r="H730" s="28"/>
      <c r="I730" s="28"/>
      <c r="J730" s="31"/>
    </row>
    <row r="731" spans="7:10" x14ac:dyDescent="0.3">
      <c r="G731" s="28"/>
      <c r="H731" s="28"/>
      <c r="I731" s="28"/>
      <c r="J731" s="31"/>
    </row>
    <row r="732" spans="7:10" x14ac:dyDescent="0.3">
      <c r="G732" s="28"/>
      <c r="H732" s="28"/>
      <c r="I732" s="28"/>
      <c r="J732" s="31"/>
    </row>
    <row r="733" spans="7:10" x14ac:dyDescent="0.3">
      <c r="G733" s="28"/>
      <c r="H733" s="28"/>
      <c r="I733" s="28"/>
      <c r="J733" s="31"/>
    </row>
    <row r="734" spans="7:10" x14ac:dyDescent="0.3">
      <c r="G734" s="28"/>
      <c r="H734" s="28"/>
      <c r="I734" s="28"/>
      <c r="J734" s="31"/>
    </row>
    <row r="735" spans="7:10" x14ac:dyDescent="0.3">
      <c r="G735" s="28"/>
      <c r="H735" s="28"/>
      <c r="I735" s="28"/>
      <c r="J735" s="31"/>
    </row>
    <row r="736" spans="7:10" x14ac:dyDescent="0.3">
      <c r="G736" s="28"/>
      <c r="H736" s="28"/>
      <c r="I736" s="28"/>
      <c r="J736" s="31"/>
    </row>
    <row r="737" spans="7:10" x14ac:dyDescent="0.3">
      <c r="G737" s="28"/>
      <c r="H737" s="28"/>
      <c r="I737" s="28"/>
      <c r="J737" s="31"/>
    </row>
    <row r="738" spans="7:10" x14ac:dyDescent="0.3">
      <c r="G738" s="28"/>
      <c r="H738" s="28"/>
      <c r="I738" s="28"/>
      <c r="J738" s="31"/>
    </row>
    <row r="739" spans="7:10" x14ac:dyDescent="0.3">
      <c r="G739" s="28"/>
      <c r="H739" s="28"/>
      <c r="I739" s="28"/>
      <c r="J739" s="31"/>
    </row>
    <row r="740" spans="7:10" x14ac:dyDescent="0.3">
      <c r="G740" s="28"/>
      <c r="H740" s="28"/>
      <c r="I740" s="28"/>
      <c r="J740" s="31"/>
    </row>
    <row r="741" spans="7:10" x14ac:dyDescent="0.3">
      <c r="G741" s="28"/>
      <c r="H741" s="28"/>
      <c r="I741" s="28"/>
      <c r="J741" s="31"/>
    </row>
    <row r="742" spans="7:10" x14ac:dyDescent="0.3">
      <c r="G742" s="28"/>
      <c r="H742" s="28"/>
      <c r="I742" s="28"/>
      <c r="J742" s="31"/>
    </row>
    <row r="743" spans="7:10" x14ac:dyDescent="0.3">
      <c r="G743" s="28"/>
      <c r="H743" s="28"/>
      <c r="I743" s="28"/>
      <c r="J743" s="31"/>
    </row>
    <row r="744" spans="7:10" x14ac:dyDescent="0.3">
      <c r="G744" s="28"/>
      <c r="H744" s="28"/>
      <c r="I744" s="28"/>
      <c r="J744" s="31"/>
    </row>
    <row r="745" spans="7:10" x14ac:dyDescent="0.3">
      <c r="G745" s="28"/>
      <c r="H745" s="28"/>
      <c r="I745" s="28"/>
      <c r="J745" s="31"/>
    </row>
    <row r="746" spans="7:10" x14ac:dyDescent="0.3">
      <c r="G746" s="28"/>
      <c r="H746" s="28"/>
      <c r="I746" s="28"/>
      <c r="J746" s="31"/>
    </row>
    <row r="747" spans="7:10" x14ac:dyDescent="0.3">
      <c r="G747" s="28"/>
      <c r="H747" s="28"/>
      <c r="I747" s="28"/>
      <c r="J747" s="31"/>
    </row>
    <row r="748" spans="7:10" x14ac:dyDescent="0.3">
      <c r="G748" s="28"/>
      <c r="H748" s="28"/>
      <c r="I748" s="28"/>
      <c r="J748" s="31"/>
    </row>
    <row r="749" spans="7:10" x14ac:dyDescent="0.3">
      <c r="G749" s="28"/>
      <c r="H749" s="28"/>
      <c r="I749" s="28"/>
      <c r="J749" s="31"/>
    </row>
    <row r="750" spans="7:10" x14ac:dyDescent="0.3">
      <c r="G750" s="28"/>
      <c r="H750" s="28"/>
      <c r="I750" s="28"/>
      <c r="J750" s="31"/>
    </row>
    <row r="751" spans="7:10" x14ac:dyDescent="0.3">
      <c r="G751" s="28"/>
      <c r="H751" s="28"/>
      <c r="I751" s="28"/>
      <c r="J751" s="31"/>
    </row>
    <row r="752" spans="7:10" x14ac:dyDescent="0.3">
      <c r="G752" s="28"/>
      <c r="H752" s="28"/>
      <c r="I752" s="28"/>
      <c r="J752" s="31"/>
    </row>
    <row r="753" spans="7:10" x14ac:dyDescent="0.3">
      <c r="G753" s="28"/>
      <c r="H753" s="28"/>
      <c r="I753" s="28"/>
      <c r="J753" s="31"/>
    </row>
    <row r="754" spans="7:10" x14ac:dyDescent="0.3">
      <c r="G754" s="28"/>
      <c r="H754" s="28"/>
      <c r="I754" s="28"/>
      <c r="J754" s="31"/>
    </row>
    <row r="755" spans="7:10" x14ac:dyDescent="0.3">
      <c r="G755" s="28"/>
      <c r="H755" s="28"/>
      <c r="I755" s="28"/>
      <c r="J755" s="31"/>
    </row>
    <row r="756" spans="7:10" x14ac:dyDescent="0.3">
      <c r="G756" s="28"/>
      <c r="H756" s="28"/>
      <c r="I756" s="28"/>
      <c r="J756" s="31"/>
    </row>
    <row r="757" spans="7:10" x14ac:dyDescent="0.3">
      <c r="G757" s="28"/>
      <c r="H757" s="28"/>
      <c r="I757" s="28"/>
      <c r="J757" s="31"/>
    </row>
    <row r="758" spans="7:10" x14ac:dyDescent="0.3">
      <c r="G758" s="28"/>
      <c r="H758" s="28"/>
      <c r="I758" s="28"/>
      <c r="J758" s="31"/>
    </row>
    <row r="759" spans="7:10" x14ac:dyDescent="0.3">
      <c r="G759" s="28"/>
      <c r="H759" s="28"/>
      <c r="I759" s="28"/>
      <c r="J759" s="31"/>
    </row>
    <row r="760" spans="7:10" x14ac:dyDescent="0.3">
      <c r="G760" s="28"/>
      <c r="H760" s="28"/>
      <c r="I760" s="28"/>
      <c r="J760" s="31"/>
    </row>
    <row r="761" spans="7:10" x14ac:dyDescent="0.3">
      <c r="G761" s="28"/>
      <c r="H761" s="28"/>
      <c r="I761" s="28"/>
      <c r="J761" s="31"/>
    </row>
    <row r="762" spans="7:10" x14ac:dyDescent="0.3">
      <c r="G762" s="28"/>
      <c r="H762" s="28"/>
      <c r="I762" s="28"/>
      <c r="J762" s="31"/>
    </row>
    <row r="763" spans="7:10" x14ac:dyDescent="0.3">
      <c r="G763" s="28"/>
      <c r="H763" s="28"/>
      <c r="I763" s="28"/>
      <c r="J763" s="31"/>
    </row>
    <row r="764" spans="7:10" x14ac:dyDescent="0.3">
      <c r="G764" s="28"/>
      <c r="H764" s="28"/>
      <c r="I764" s="28"/>
      <c r="J764" s="31"/>
    </row>
    <row r="765" spans="7:10" x14ac:dyDescent="0.3">
      <c r="G765" s="28"/>
      <c r="H765" s="28"/>
      <c r="I765" s="28"/>
      <c r="J765" s="31"/>
    </row>
    <row r="766" spans="7:10" x14ac:dyDescent="0.3">
      <c r="G766" s="28"/>
      <c r="H766" s="28"/>
      <c r="I766" s="28"/>
      <c r="J766" s="31"/>
    </row>
    <row r="767" spans="7:10" x14ac:dyDescent="0.3">
      <c r="G767" s="28"/>
      <c r="H767" s="28"/>
      <c r="I767" s="28"/>
      <c r="J767" s="31"/>
    </row>
    <row r="768" spans="7:10" x14ac:dyDescent="0.3">
      <c r="G768" s="28"/>
      <c r="H768" s="28"/>
      <c r="I768" s="28"/>
      <c r="J768" s="31"/>
    </row>
    <row r="769" spans="7:10" x14ac:dyDescent="0.3">
      <c r="G769" s="28"/>
      <c r="H769" s="28"/>
      <c r="I769" s="28"/>
      <c r="J769" s="31"/>
    </row>
    <row r="770" spans="7:10" x14ac:dyDescent="0.3">
      <c r="G770" s="28"/>
      <c r="H770" s="28"/>
      <c r="I770" s="28"/>
      <c r="J770" s="31"/>
    </row>
    <row r="771" spans="7:10" x14ac:dyDescent="0.3">
      <c r="G771" s="28"/>
      <c r="H771" s="28"/>
      <c r="I771" s="28"/>
      <c r="J771" s="31"/>
    </row>
    <row r="772" spans="7:10" x14ac:dyDescent="0.3">
      <c r="G772" s="28"/>
      <c r="H772" s="28"/>
      <c r="I772" s="28"/>
      <c r="J772" s="31"/>
    </row>
    <row r="773" spans="7:10" x14ac:dyDescent="0.3">
      <c r="G773" s="28"/>
      <c r="H773" s="28"/>
      <c r="I773" s="28"/>
      <c r="J773" s="31"/>
    </row>
    <row r="774" spans="7:10" x14ac:dyDescent="0.3">
      <c r="G774" s="28"/>
      <c r="H774" s="28"/>
      <c r="I774" s="28"/>
      <c r="J774" s="31"/>
    </row>
    <row r="775" spans="7:10" x14ac:dyDescent="0.3">
      <c r="G775" s="28"/>
      <c r="H775" s="28"/>
      <c r="I775" s="28"/>
      <c r="J775" s="31"/>
    </row>
    <row r="776" spans="7:10" x14ac:dyDescent="0.3">
      <c r="G776" s="28"/>
      <c r="H776" s="28"/>
      <c r="I776" s="28"/>
      <c r="J776" s="31"/>
    </row>
    <row r="777" spans="7:10" x14ac:dyDescent="0.3">
      <c r="G777" s="28"/>
      <c r="H777" s="28"/>
      <c r="I777" s="28"/>
      <c r="J777" s="31"/>
    </row>
    <row r="778" spans="7:10" x14ac:dyDescent="0.3">
      <c r="G778" s="28"/>
      <c r="H778" s="28"/>
      <c r="I778" s="28"/>
      <c r="J778" s="31"/>
    </row>
    <row r="779" spans="7:10" x14ac:dyDescent="0.3">
      <c r="G779" s="28"/>
      <c r="H779" s="28"/>
      <c r="I779" s="28"/>
      <c r="J779" s="31"/>
    </row>
    <row r="780" spans="7:10" x14ac:dyDescent="0.3">
      <c r="G780" s="28"/>
      <c r="H780" s="28"/>
      <c r="I780" s="28"/>
      <c r="J780" s="31"/>
    </row>
    <row r="781" spans="7:10" x14ac:dyDescent="0.3">
      <c r="G781" s="28"/>
      <c r="H781" s="28"/>
      <c r="I781" s="28"/>
      <c r="J781" s="31"/>
    </row>
    <row r="782" spans="7:10" x14ac:dyDescent="0.3">
      <c r="G782" s="28"/>
      <c r="H782" s="28"/>
      <c r="I782" s="28"/>
      <c r="J782" s="31"/>
    </row>
    <row r="783" spans="7:10" x14ac:dyDescent="0.3">
      <c r="G783" s="28"/>
      <c r="H783" s="28"/>
      <c r="I783" s="28"/>
      <c r="J783" s="31"/>
    </row>
    <row r="784" spans="7:10" x14ac:dyDescent="0.3">
      <c r="G784" s="28"/>
      <c r="H784" s="28"/>
      <c r="I784" s="28"/>
      <c r="J784" s="31"/>
    </row>
    <row r="785" spans="7:10" x14ac:dyDescent="0.3">
      <c r="G785" s="28"/>
      <c r="H785" s="28"/>
      <c r="I785" s="28"/>
      <c r="J785" s="31"/>
    </row>
    <row r="786" spans="7:10" x14ac:dyDescent="0.3">
      <c r="G786" s="28"/>
      <c r="H786" s="28"/>
      <c r="I786" s="28"/>
      <c r="J786" s="31"/>
    </row>
    <row r="787" spans="7:10" x14ac:dyDescent="0.3">
      <c r="G787" s="28"/>
      <c r="H787" s="28"/>
      <c r="I787" s="28"/>
      <c r="J787" s="31"/>
    </row>
    <row r="788" spans="7:10" x14ac:dyDescent="0.3">
      <c r="G788" s="28"/>
      <c r="H788" s="28"/>
      <c r="I788" s="28"/>
      <c r="J788" s="31"/>
    </row>
    <row r="789" spans="7:10" x14ac:dyDescent="0.3">
      <c r="G789" s="28"/>
      <c r="H789" s="28"/>
      <c r="I789" s="28"/>
      <c r="J789" s="31"/>
    </row>
    <row r="790" spans="7:10" x14ac:dyDescent="0.3">
      <c r="G790" s="28"/>
      <c r="H790" s="28"/>
      <c r="I790" s="28"/>
      <c r="J790" s="31"/>
    </row>
    <row r="791" spans="7:10" x14ac:dyDescent="0.3">
      <c r="G791" s="28"/>
      <c r="H791" s="28"/>
      <c r="I791" s="28"/>
      <c r="J791" s="31"/>
    </row>
    <row r="792" spans="7:10" x14ac:dyDescent="0.3">
      <c r="G792" s="28"/>
      <c r="H792" s="28"/>
      <c r="I792" s="28"/>
      <c r="J792" s="31"/>
    </row>
    <row r="793" spans="7:10" x14ac:dyDescent="0.3">
      <c r="G793" s="28"/>
      <c r="H793" s="28"/>
      <c r="I793" s="28"/>
      <c r="J793" s="31"/>
    </row>
    <row r="794" spans="7:10" x14ac:dyDescent="0.3">
      <c r="G794" s="28"/>
      <c r="H794" s="28"/>
      <c r="I794" s="28"/>
      <c r="J794" s="31"/>
    </row>
    <row r="795" spans="7:10" x14ac:dyDescent="0.3">
      <c r="G795" s="28"/>
      <c r="H795" s="28"/>
      <c r="I795" s="28"/>
      <c r="J795" s="31"/>
    </row>
    <row r="796" spans="7:10" x14ac:dyDescent="0.3">
      <c r="G796" s="28"/>
      <c r="H796" s="28"/>
      <c r="I796" s="28"/>
      <c r="J796" s="31"/>
    </row>
    <row r="797" spans="7:10" x14ac:dyDescent="0.3">
      <c r="G797" s="28"/>
      <c r="H797" s="28"/>
      <c r="I797" s="28"/>
      <c r="J797" s="31"/>
    </row>
    <row r="798" spans="7:10" x14ac:dyDescent="0.3">
      <c r="G798" s="28"/>
      <c r="H798" s="28"/>
      <c r="I798" s="28"/>
      <c r="J798" s="31"/>
    </row>
    <row r="799" spans="7:10" x14ac:dyDescent="0.3">
      <c r="G799" s="28"/>
      <c r="H799" s="28"/>
      <c r="I799" s="28"/>
      <c r="J799" s="31"/>
    </row>
    <row r="800" spans="7:10" x14ac:dyDescent="0.3">
      <c r="G800" s="28"/>
      <c r="H800" s="28"/>
      <c r="I800" s="28"/>
      <c r="J800" s="31"/>
    </row>
    <row r="801" spans="7:10" x14ac:dyDescent="0.3">
      <c r="G801" s="28"/>
      <c r="H801" s="28"/>
      <c r="I801" s="28"/>
      <c r="J801" s="31"/>
    </row>
    <row r="802" spans="7:10" x14ac:dyDescent="0.3">
      <c r="G802" s="28"/>
      <c r="H802" s="28"/>
      <c r="I802" s="28"/>
      <c r="J802" s="31"/>
    </row>
    <row r="803" spans="7:10" x14ac:dyDescent="0.3">
      <c r="G803" s="28"/>
      <c r="H803" s="28"/>
      <c r="I803" s="28"/>
      <c r="J803" s="31"/>
    </row>
    <row r="804" spans="7:10" x14ac:dyDescent="0.3">
      <c r="G804" s="28"/>
      <c r="H804" s="28"/>
      <c r="I804" s="28"/>
      <c r="J804" s="31"/>
    </row>
    <row r="805" spans="7:10" x14ac:dyDescent="0.3">
      <c r="G805" s="28"/>
      <c r="H805" s="28"/>
      <c r="I805" s="28"/>
      <c r="J805" s="31"/>
    </row>
    <row r="806" spans="7:10" x14ac:dyDescent="0.3">
      <c r="G806" s="28"/>
      <c r="H806" s="28"/>
      <c r="I806" s="28"/>
      <c r="J806" s="31"/>
    </row>
    <row r="807" spans="7:10" x14ac:dyDescent="0.3">
      <c r="G807" s="28"/>
      <c r="H807" s="28"/>
      <c r="I807" s="28"/>
      <c r="J807" s="31"/>
    </row>
    <row r="808" spans="7:10" x14ac:dyDescent="0.3">
      <c r="G808" s="28"/>
      <c r="H808" s="28"/>
      <c r="I808" s="28"/>
      <c r="J808" s="31"/>
    </row>
    <row r="809" spans="7:10" x14ac:dyDescent="0.3">
      <c r="G809" s="28"/>
      <c r="H809" s="28"/>
      <c r="I809" s="28"/>
      <c r="J809" s="31"/>
    </row>
    <row r="810" spans="7:10" x14ac:dyDescent="0.3">
      <c r="G810" s="28"/>
      <c r="H810" s="28"/>
      <c r="I810" s="28"/>
      <c r="J810" s="31"/>
    </row>
    <row r="811" spans="7:10" x14ac:dyDescent="0.3">
      <c r="G811" s="28"/>
      <c r="H811" s="28"/>
      <c r="I811" s="28"/>
      <c r="J811" s="31"/>
    </row>
    <row r="812" spans="7:10" x14ac:dyDescent="0.3">
      <c r="G812" s="28"/>
      <c r="H812" s="28"/>
      <c r="I812" s="28"/>
      <c r="J812" s="31"/>
    </row>
    <row r="813" spans="7:10" x14ac:dyDescent="0.3">
      <c r="G813" s="28"/>
      <c r="H813" s="28"/>
      <c r="I813" s="28"/>
      <c r="J813" s="31"/>
    </row>
    <row r="814" spans="7:10" x14ac:dyDescent="0.3">
      <c r="G814" s="28"/>
      <c r="H814" s="28"/>
      <c r="I814" s="28"/>
      <c r="J814" s="31"/>
    </row>
    <row r="815" spans="7:10" x14ac:dyDescent="0.3">
      <c r="G815" s="28"/>
      <c r="H815" s="28"/>
      <c r="I815" s="28"/>
      <c r="J815" s="31"/>
    </row>
    <row r="816" spans="7:10" x14ac:dyDescent="0.3">
      <c r="G816" s="28"/>
      <c r="H816" s="28"/>
      <c r="I816" s="28"/>
      <c r="J816" s="31"/>
    </row>
    <row r="817" spans="7:10" x14ac:dyDescent="0.3">
      <c r="G817" s="28"/>
      <c r="H817" s="28"/>
      <c r="I817" s="28"/>
      <c r="J817" s="31"/>
    </row>
    <row r="818" spans="7:10" x14ac:dyDescent="0.3">
      <c r="G818" s="28"/>
      <c r="H818" s="28"/>
      <c r="I818" s="28"/>
      <c r="J818" s="31"/>
    </row>
    <row r="819" spans="7:10" x14ac:dyDescent="0.3">
      <c r="G819" s="28"/>
      <c r="H819" s="28"/>
      <c r="I819" s="28"/>
      <c r="J819" s="31"/>
    </row>
    <row r="820" spans="7:10" x14ac:dyDescent="0.3">
      <c r="G820" s="28"/>
      <c r="H820" s="28"/>
      <c r="I820" s="28"/>
      <c r="J820" s="31"/>
    </row>
    <row r="821" spans="7:10" x14ac:dyDescent="0.3">
      <c r="G821" s="28"/>
      <c r="H821" s="28"/>
      <c r="I821" s="28"/>
      <c r="J821" s="31"/>
    </row>
    <row r="822" spans="7:10" x14ac:dyDescent="0.3">
      <c r="G822" s="28"/>
      <c r="H822" s="28"/>
      <c r="I822" s="28"/>
      <c r="J822" s="31"/>
    </row>
    <row r="823" spans="7:10" x14ac:dyDescent="0.3">
      <c r="G823" s="28"/>
      <c r="H823" s="28"/>
      <c r="I823" s="28"/>
      <c r="J823" s="31"/>
    </row>
    <row r="824" spans="7:10" x14ac:dyDescent="0.3">
      <c r="G824" s="28"/>
      <c r="H824" s="28"/>
      <c r="I824" s="28"/>
      <c r="J824" s="31"/>
    </row>
    <row r="825" spans="7:10" x14ac:dyDescent="0.3">
      <c r="G825" s="28"/>
      <c r="H825" s="28"/>
      <c r="I825" s="28"/>
      <c r="J825" s="31"/>
    </row>
    <row r="826" spans="7:10" x14ac:dyDescent="0.3">
      <c r="G826" s="28"/>
      <c r="H826" s="28"/>
      <c r="I826" s="28"/>
      <c r="J826" s="31"/>
    </row>
    <row r="827" spans="7:10" x14ac:dyDescent="0.3">
      <c r="G827" s="28"/>
      <c r="H827" s="28"/>
      <c r="I827" s="28"/>
      <c r="J827" s="31"/>
    </row>
    <row r="828" spans="7:10" x14ac:dyDescent="0.3">
      <c r="G828" s="28"/>
      <c r="H828" s="28"/>
      <c r="I828" s="28"/>
      <c r="J828" s="31"/>
    </row>
    <row r="829" spans="7:10" x14ac:dyDescent="0.3">
      <c r="G829" s="28"/>
      <c r="H829" s="28"/>
      <c r="I829" s="28"/>
      <c r="J829" s="31"/>
    </row>
    <row r="830" spans="7:10" x14ac:dyDescent="0.3">
      <c r="G830" s="28"/>
      <c r="H830" s="28"/>
      <c r="I830" s="28"/>
      <c r="J830" s="31"/>
    </row>
    <row r="831" spans="7:10" x14ac:dyDescent="0.3">
      <c r="G831" s="28"/>
      <c r="H831" s="28"/>
      <c r="I831" s="28"/>
      <c r="J831" s="31"/>
    </row>
    <row r="832" spans="7:10" x14ac:dyDescent="0.3">
      <c r="G832" s="28"/>
      <c r="H832" s="28"/>
      <c r="I832" s="28"/>
      <c r="J832" s="31"/>
    </row>
    <row r="833" spans="7:10" x14ac:dyDescent="0.3">
      <c r="G833" s="28"/>
      <c r="H833" s="28"/>
      <c r="I833" s="28"/>
      <c r="J833" s="31"/>
    </row>
    <row r="834" spans="7:10" x14ac:dyDescent="0.3">
      <c r="G834" s="28"/>
      <c r="H834" s="28"/>
      <c r="I834" s="28"/>
      <c r="J834" s="31"/>
    </row>
    <row r="835" spans="7:10" x14ac:dyDescent="0.3">
      <c r="G835" s="28"/>
      <c r="H835" s="28"/>
      <c r="I835" s="28"/>
      <c r="J835" s="31"/>
    </row>
    <row r="836" spans="7:10" x14ac:dyDescent="0.3">
      <c r="G836" s="28"/>
      <c r="H836" s="28"/>
      <c r="I836" s="28"/>
      <c r="J836" s="31"/>
    </row>
    <row r="837" spans="7:10" x14ac:dyDescent="0.3">
      <c r="G837" s="28"/>
      <c r="H837" s="28"/>
      <c r="I837" s="28"/>
      <c r="J837" s="31"/>
    </row>
    <row r="838" spans="7:10" x14ac:dyDescent="0.3">
      <c r="G838" s="28"/>
      <c r="H838" s="28"/>
      <c r="I838" s="28"/>
      <c r="J838" s="31"/>
    </row>
    <row r="839" spans="7:10" x14ac:dyDescent="0.3">
      <c r="G839" s="28"/>
      <c r="H839" s="28"/>
      <c r="I839" s="28"/>
      <c r="J839" s="31"/>
    </row>
    <row r="840" spans="7:10" x14ac:dyDescent="0.3">
      <c r="G840" s="28"/>
      <c r="H840" s="28"/>
      <c r="I840" s="28"/>
      <c r="J840" s="31"/>
    </row>
    <row r="841" spans="7:10" x14ac:dyDescent="0.3">
      <c r="G841" s="28"/>
      <c r="H841" s="28"/>
      <c r="I841" s="28"/>
      <c r="J841" s="31"/>
    </row>
    <row r="842" spans="7:10" x14ac:dyDescent="0.3">
      <c r="G842" s="28"/>
      <c r="H842" s="28"/>
      <c r="I842" s="28"/>
      <c r="J842" s="31"/>
    </row>
    <row r="843" spans="7:10" x14ac:dyDescent="0.3">
      <c r="G843" s="28"/>
      <c r="H843" s="28"/>
      <c r="I843" s="28"/>
      <c r="J843" s="31"/>
    </row>
    <row r="844" spans="7:10" x14ac:dyDescent="0.3">
      <c r="G844" s="28"/>
      <c r="H844" s="28"/>
      <c r="I844" s="28"/>
      <c r="J844" s="31"/>
    </row>
    <row r="845" spans="7:10" x14ac:dyDescent="0.3">
      <c r="G845" s="28"/>
      <c r="H845" s="28"/>
      <c r="I845" s="28"/>
      <c r="J845" s="31"/>
    </row>
    <row r="846" spans="7:10" x14ac:dyDescent="0.3">
      <c r="G846" s="28"/>
      <c r="H846" s="28"/>
      <c r="I846" s="28"/>
      <c r="J846" s="31"/>
    </row>
    <row r="847" spans="7:10" x14ac:dyDescent="0.3">
      <c r="G847" s="28"/>
      <c r="H847" s="28"/>
      <c r="I847" s="28"/>
      <c r="J847" s="31"/>
    </row>
    <row r="848" spans="7:10" x14ac:dyDescent="0.3">
      <c r="G848" s="28"/>
      <c r="H848" s="28"/>
      <c r="I848" s="28"/>
      <c r="J848" s="31"/>
    </row>
    <row r="849" spans="7:10" x14ac:dyDescent="0.3">
      <c r="G849" s="28"/>
      <c r="H849" s="28"/>
      <c r="I849" s="28"/>
      <c r="J849" s="31"/>
    </row>
    <row r="850" spans="7:10" x14ac:dyDescent="0.3">
      <c r="G850" s="28"/>
      <c r="H850" s="28"/>
      <c r="I850" s="28"/>
      <c r="J850" s="31"/>
    </row>
    <row r="851" spans="7:10" x14ac:dyDescent="0.3">
      <c r="G851" s="28"/>
      <c r="H851" s="28"/>
      <c r="I851" s="28"/>
      <c r="J851" s="31"/>
    </row>
    <row r="852" spans="7:10" x14ac:dyDescent="0.3">
      <c r="G852" s="28"/>
      <c r="H852" s="28"/>
      <c r="I852" s="28"/>
      <c r="J852" s="31"/>
    </row>
    <row r="853" spans="7:10" x14ac:dyDescent="0.3">
      <c r="G853" s="28"/>
      <c r="H853" s="28"/>
      <c r="I853" s="28"/>
      <c r="J853" s="31"/>
    </row>
    <row r="854" spans="7:10" x14ac:dyDescent="0.3">
      <c r="G854" s="28"/>
      <c r="H854" s="28"/>
      <c r="I854" s="28"/>
      <c r="J854" s="31"/>
    </row>
    <row r="855" spans="7:10" x14ac:dyDescent="0.3">
      <c r="G855" s="28"/>
      <c r="H855" s="28"/>
      <c r="I855" s="28"/>
      <c r="J855" s="31"/>
    </row>
    <row r="856" spans="7:10" x14ac:dyDescent="0.3">
      <c r="G856" s="28"/>
      <c r="H856" s="28"/>
      <c r="I856" s="28"/>
      <c r="J856" s="31"/>
    </row>
    <row r="857" spans="7:10" x14ac:dyDescent="0.3">
      <c r="G857" s="28"/>
      <c r="H857" s="28"/>
      <c r="I857" s="28"/>
      <c r="J857" s="31"/>
    </row>
    <row r="858" spans="7:10" x14ac:dyDescent="0.3">
      <c r="G858" s="28"/>
      <c r="H858" s="28"/>
      <c r="I858" s="28"/>
      <c r="J858" s="31"/>
    </row>
    <row r="859" spans="7:10" x14ac:dyDescent="0.3">
      <c r="G859" s="28"/>
      <c r="H859" s="28"/>
      <c r="I859" s="28"/>
      <c r="J859" s="31"/>
    </row>
    <row r="860" spans="7:10" x14ac:dyDescent="0.3">
      <c r="G860" s="28"/>
      <c r="H860" s="28"/>
      <c r="I860" s="28"/>
      <c r="J860" s="31"/>
    </row>
    <row r="861" spans="7:10" x14ac:dyDescent="0.3">
      <c r="G861" s="28"/>
      <c r="H861" s="28"/>
      <c r="I861" s="28"/>
      <c r="J861" s="31"/>
    </row>
    <row r="862" spans="7:10" x14ac:dyDescent="0.3">
      <c r="G862" s="28"/>
      <c r="H862" s="28"/>
      <c r="I862" s="28"/>
      <c r="J862" s="31"/>
    </row>
    <row r="863" spans="7:10" x14ac:dyDescent="0.3">
      <c r="G863" s="28"/>
      <c r="H863" s="28"/>
      <c r="I863" s="28"/>
      <c r="J863" s="31"/>
    </row>
    <row r="864" spans="7:10" x14ac:dyDescent="0.3">
      <c r="G864" s="28"/>
      <c r="H864" s="28"/>
      <c r="I864" s="28"/>
      <c r="J864" s="31"/>
    </row>
    <row r="865" spans="7:10" x14ac:dyDescent="0.3">
      <c r="G865" s="28"/>
      <c r="H865" s="28"/>
      <c r="I865" s="28"/>
      <c r="J865" s="31"/>
    </row>
    <row r="866" spans="7:10" x14ac:dyDescent="0.3">
      <c r="G866" s="28"/>
      <c r="H866" s="28"/>
      <c r="I866" s="28"/>
      <c r="J866" s="31"/>
    </row>
    <row r="867" spans="7:10" x14ac:dyDescent="0.3">
      <c r="G867" s="28"/>
      <c r="H867" s="28"/>
      <c r="I867" s="28"/>
      <c r="J867" s="31"/>
    </row>
    <row r="868" spans="7:10" x14ac:dyDescent="0.3">
      <c r="G868" s="28"/>
      <c r="H868" s="28"/>
      <c r="I868" s="28"/>
      <c r="J868" s="31"/>
    </row>
    <row r="869" spans="7:10" x14ac:dyDescent="0.3">
      <c r="G869" s="28"/>
      <c r="H869" s="28"/>
      <c r="I869" s="28"/>
      <c r="J869" s="31"/>
    </row>
    <row r="870" spans="7:10" x14ac:dyDescent="0.3">
      <c r="G870" s="28"/>
      <c r="H870" s="28"/>
      <c r="I870" s="28"/>
      <c r="J870" s="31"/>
    </row>
    <row r="871" spans="7:10" x14ac:dyDescent="0.3">
      <c r="G871" s="28"/>
      <c r="H871" s="28"/>
      <c r="I871" s="28"/>
      <c r="J871" s="31"/>
    </row>
    <row r="872" spans="7:10" x14ac:dyDescent="0.3">
      <c r="G872" s="28"/>
      <c r="H872" s="28"/>
      <c r="I872" s="28"/>
      <c r="J872" s="31"/>
    </row>
    <row r="873" spans="7:10" x14ac:dyDescent="0.3">
      <c r="G873" s="28"/>
      <c r="H873" s="28"/>
      <c r="I873" s="28"/>
      <c r="J873" s="31"/>
    </row>
    <row r="874" spans="7:10" x14ac:dyDescent="0.3">
      <c r="G874" s="28"/>
      <c r="H874" s="28"/>
      <c r="I874" s="28"/>
      <c r="J874" s="31"/>
    </row>
    <row r="875" spans="7:10" x14ac:dyDescent="0.3">
      <c r="G875" s="28"/>
      <c r="H875" s="28"/>
      <c r="I875" s="28"/>
      <c r="J875" s="31"/>
    </row>
    <row r="876" spans="7:10" x14ac:dyDescent="0.3">
      <c r="G876" s="28"/>
      <c r="H876" s="28"/>
      <c r="I876" s="28"/>
      <c r="J876" s="31"/>
    </row>
    <row r="877" spans="7:10" x14ac:dyDescent="0.3">
      <c r="G877" s="28"/>
      <c r="H877" s="28"/>
      <c r="I877" s="28"/>
      <c r="J877" s="31"/>
    </row>
    <row r="878" spans="7:10" x14ac:dyDescent="0.3">
      <c r="G878" s="28"/>
      <c r="H878" s="28"/>
      <c r="I878" s="28"/>
      <c r="J878" s="31"/>
    </row>
    <row r="879" spans="7:10" x14ac:dyDescent="0.3">
      <c r="G879" s="28"/>
      <c r="H879" s="28"/>
      <c r="I879" s="28"/>
      <c r="J879" s="31"/>
    </row>
    <row r="880" spans="7:10" x14ac:dyDescent="0.3">
      <c r="G880" s="28"/>
      <c r="H880" s="28"/>
      <c r="I880" s="28"/>
      <c r="J880" s="31"/>
    </row>
    <row r="881" spans="7:10" x14ac:dyDescent="0.3">
      <c r="G881" s="28"/>
      <c r="H881" s="28"/>
      <c r="I881" s="28"/>
      <c r="J881" s="31"/>
    </row>
    <row r="882" spans="7:10" x14ac:dyDescent="0.3">
      <c r="G882" s="28"/>
      <c r="H882" s="28"/>
      <c r="I882" s="28"/>
      <c r="J882" s="31"/>
    </row>
    <row r="883" spans="7:10" x14ac:dyDescent="0.3">
      <c r="G883" s="28"/>
      <c r="H883" s="28"/>
      <c r="I883" s="28"/>
      <c r="J883" s="31"/>
    </row>
    <row r="884" spans="7:10" x14ac:dyDescent="0.3">
      <c r="G884" s="28"/>
      <c r="H884" s="28"/>
      <c r="I884" s="28"/>
      <c r="J884" s="31"/>
    </row>
    <row r="885" spans="7:10" x14ac:dyDescent="0.3">
      <c r="G885" s="28"/>
      <c r="H885" s="28"/>
      <c r="I885" s="28"/>
      <c r="J885" s="31"/>
    </row>
    <row r="886" spans="7:10" x14ac:dyDescent="0.3">
      <c r="G886" s="28"/>
      <c r="H886" s="28"/>
      <c r="I886" s="28"/>
      <c r="J886" s="31"/>
    </row>
    <row r="887" spans="7:10" x14ac:dyDescent="0.3">
      <c r="G887" s="28"/>
      <c r="H887" s="28"/>
      <c r="I887" s="28"/>
      <c r="J887" s="31"/>
    </row>
    <row r="888" spans="7:10" x14ac:dyDescent="0.3">
      <c r="G888" s="28"/>
      <c r="H888" s="28"/>
      <c r="I888" s="28"/>
      <c r="J888" s="31"/>
    </row>
    <row r="889" spans="7:10" x14ac:dyDescent="0.3">
      <c r="G889" s="28"/>
      <c r="H889" s="28"/>
      <c r="I889" s="28"/>
      <c r="J889" s="31"/>
    </row>
    <row r="890" spans="7:10" x14ac:dyDescent="0.3">
      <c r="G890" s="28"/>
      <c r="H890" s="28"/>
      <c r="I890" s="28"/>
      <c r="J890" s="31"/>
    </row>
    <row r="891" spans="7:10" x14ac:dyDescent="0.3">
      <c r="G891" s="28"/>
      <c r="H891" s="28"/>
      <c r="I891" s="28"/>
      <c r="J891" s="31"/>
    </row>
    <row r="892" spans="7:10" x14ac:dyDescent="0.3">
      <c r="G892" s="28"/>
      <c r="H892" s="28"/>
      <c r="I892" s="28"/>
      <c r="J892" s="31"/>
    </row>
    <row r="893" spans="7:10" x14ac:dyDescent="0.3">
      <c r="G893" s="28"/>
      <c r="H893" s="28"/>
      <c r="I893" s="28"/>
      <c r="J893" s="31"/>
    </row>
    <row r="894" spans="7:10" x14ac:dyDescent="0.3">
      <c r="G894" s="28"/>
      <c r="H894" s="28"/>
      <c r="I894" s="28"/>
      <c r="J894" s="31"/>
    </row>
    <row r="895" spans="7:10" x14ac:dyDescent="0.3">
      <c r="G895" s="28"/>
      <c r="H895" s="28"/>
      <c r="I895" s="28"/>
      <c r="J895" s="31"/>
    </row>
    <row r="896" spans="7:10" x14ac:dyDescent="0.3">
      <c r="G896" s="28"/>
      <c r="H896" s="28"/>
      <c r="I896" s="28"/>
      <c r="J896" s="31"/>
    </row>
    <row r="897" spans="7:10" x14ac:dyDescent="0.3">
      <c r="G897" s="28"/>
      <c r="H897" s="28"/>
      <c r="I897" s="28"/>
      <c r="J897" s="31"/>
    </row>
    <row r="898" spans="7:10" x14ac:dyDescent="0.3">
      <c r="G898" s="28"/>
      <c r="H898" s="28"/>
      <c r="I898" s="28"/>
      <c r="J898" s="31"/>
    </row>
    <row r="899" spans="7:10" x14ac:dyDescent="0.3">
      <c r="G899" s="28"/>
      <c r="H899" s="28"/>
      <c r="I899" s="28"/>
      <c r="J899" s="31"/>
    </row>
    <row r="900" spans="7:10" x14ac:dyDescent="0.3">
      <c r="G900" s="28"/>
      <c r="H900" s="28"/>
      <c r="I900" s="28"/>
      <c r="J900" s="31"/>
    </row>
    <row r="901" spans="7:10" x14ac:dyDescent="0.3">
      <c r="G901" s="28"/>
      <c r="H901" s="28"/>
      <c r="I901" s="28"/>
      <c r="J901" s="31"/>
    </row>
    <row r="902" spans="7:10" x14ac:dyDescent="0.3">
      <c r="G902" s="28"/>
      <c r="H902" s="28"/>
      <c r="I902" s="28"/>
      <c r="J902" s="31"/>
    </row>
    <row r="903" spans="7:10" x14ac:dyDescent="0.3">
      <c r="G903" s="28"/>
      <c r="H903" s="28"/>
      <c r="I903" s="28"/>
      <c r="J903" s="31"/>
    </row>
    <row r="904" spans="7:10" x14ac:dyDescent="0.3">
      <c r="G904" s="28"/>
      <c r="H904" s="28"/>
      <c r="I904" s="28"/>
      <c r="J904" s="31"/>
    </row>
    <row r="905" spans="7:10" x14ac:dyDescent="0.3">
      <c r="G905" s="28"/>
      <c r="H905" s="28"/>
      <c r="I905" s="28"/>
      <c r="J905" s="31"/>
    </row>
    <row r="906" spans="7:10" x14ac:dyDescent="0.3">
      <c r="G906" s="28"/>
      <c r="H906" s="28"/>
      <c r="I906" s="28"/>
      <c r="J906" s="31"/>
    </row>
    <row r="907" spans="7:10" x14ac:dyDescent="0.3">
      <c r="G907" s="28"/>
      <c r="H907" s="28"/>
      <c r="I907" s="28"/>
      <c r="J907" s="31"/>
    </row>
    <row r="908" spans="7:10" x14ac:dyDescent="0.3">
      <c r="G908" s="28"/>
      <c r="H908" s="28"/>
      <c r="I908" s="28"/>
      <c r="J908" s="31"/>
    </row>
    <row r="909" spans="7:10" x14ac:dyDescent="0.3">
      <c r="G909" s="28"/>
      <c r="H909" s="28"/>
      <c r="I909" s="28"/>
      <c r="J909" s="31"/>
    </row>
    <row r="910" spans="7:10" x14ac:dyDescent="0.3">
      <c r="G910" s="28"/>
      <c r="H910" s="28"/>
      <c r="I910" s="28"/>
      <c r="J910" s="31"/>
    </row>
    <row r="911" spans="7:10" x14ac:dyDescent="0.3">
      <c r="G911" s="28"/>
      <c r="H911" s="28"/>
      <c r="I911" s="28"/>
      <c r="J911" s="31"/>
    </row>
    <row r="912" spans="7:10" x14ac:dyDescent="0.3">
      <c r="G912" s="28"/>
      <c r="H912" s="28"/>
      <c r="I912" s="28"/>
      <c r="J912" s="31"/>
    </row>
    <row r="913" spans="7:10" x14ac:dyDescent="0.3">
      <c r="G913" s="28"/>
      <c r="H913" s="28"/>
      <c r="I913" s="28"/>
      <c r="J913" s="31"/>
    </row>
    <row r="914" spans="7:10" x14ac:dyDescent="0.3">
      <c r="G914" s="28"/>
      <c r="H914" s="28"/>
      <c r="I914" s="28"/>
      <c r="J914" s="31"/>
    </row>
    <row r="915" spans="7:10" x14ac:dyDescent="0.3">
      <c r="G915" s="28"/>
      <c r="H915" s="28"/>
      <c r="I915" s="28"/>
      <c r="J915" s="31"/>
    </row>
    <row r="916" spans="7:10" x14ac:dyDescent="0.3">
      <c r="G916" s="28"/>
      <c r="H916" s="28"/>
      <c r="I916" s="28"/>
      <c r="J916" s="31"/>
    </row>
    <row r="917" spans="7:10" x14ac:dyDescent="0.3">
      <c r="G917" s="28"/>
      <c r="H917" s="28"/>
      <c r="I917" s="28"/>
      <c r="J917" s="31"/>
    </row>
    <row r="918" spans="7:10" x14ac:dyDescent="0.3">
      <c r="G918" s="28"/>
      <c r="H918" s="28"/>
      <c r="I918" s="28"/>
      <c r="J918" s="31"/>
    </row>
    <row r="919" spans="7:10" x14ac:dyDescent="0.3">
      <c r="G919" s="28"/>
      <c r="H919" s="28"/>
      <c r="I919" s="28"/>
      <c r="J919" s="31"/>
    </row>
    <row r="920" spans="7:10" x14ac:dyDescent="0.3">
      <c r="G920" s="28"/>
      <c r="H920" s="28"/>
      <c r="I920" s="28"/>
      <c r="J920" s="31"/>
    </row>
    <row r="921" spans="7:10" x14ac:dyDescent="0.3">
      <c r="G921" s="28"/>
      <c r="H921" s="28"/>
      <c r="I921" s="28"/>
      <c r="J921" s="31"/>
    </row>
    <row r="922" spans="7:10" x14ac:dyDescent="0.3">
      <c r="G922" s="28"/>
      <c r="H922" s="28"/>
      <c r="I922" s="28"/>
      <c r="J922" s="31"/>
    </row>
    <row r="923" spans="7:10" x14ac:dyDescent="0.3">
      <c r="G923" s="28"/>
      <c r="H923" s="28"/>
      <c r="I923" s="28"/>
      <c r="J923" s="31"/>
    </row>
    <row r="924" spans="7:10" x14ac:dyDescent="0.3">
      <c r="G924" s="28"/>
      <c r="H924" s="28"/>
      <c r="I924" s="28"/>
      <c r="J924" s="31"/>
    </row>
    <row r="925" spans="7:10" x14ac:dyDescent="0.3">
      <c r="G925" s="28"/>
      <c r="H925" s="28"/>
      <c r="I925" s="28"/>
      <c r="J925" s="31"/>
    </row>
    <row r="926" spans="7:10" x14ac:dyDescent="0.3">
      <c r="G926" s="28"/>
      <c r="H926" s="28"/>
      <c r="I926" s="28"/>
      <c r="J926" s="31"/>
    </row>
    <row r="927" spans="7:10" x14ac:dyDescent="0.3">
      <c r="G927" s="28"/>
      <c r="H927" s="28"/>
      <c r="I927" s="28"/>
      <c r="J927" s="31"/>
    </row>
    <row r="928" spans="7:10" x14ac:dyDescent="0.3">
      <c r="G928" s="28"/>
      <c r="H928" s="28"/>
      <c r="I928" s="28"/>
      <c r="J928" s="31"/>
    </row>
    <row r="929" spans="7:10" x14ac:dyDescent="0.3">
      <c r="G929" s="28"/>
      <c r="H929" s="28"/>
      <c r="I929" s="28"/>
      <c r="J929" s="31"/>
    </row>
    <row r="930" spans="7:10" x14ac:dyDescent="0.3">
      <c r="G930" s="28"/>
      <c r="H930" s="28"/>
      <c r="I930" s="28"/>
      <c r="J930" s="31"/>
    </row>
    <row r="931" spans="7:10" x14ac:dyDescent="0.3">
      <c r="G931" s="28"/>
      <c r="H931" s="28"/>
      <c r="I931" s="28"/>
      <c r="J931" s="31"/>
    </row>
    <row r="932" spans="7:10" x14ac:dyDescent="0.3">
      <c r="G932" s="28"/>
      <c r="H932" s="28"/>
      <c r="I932" s="28"/>
      <c r="J932" s="31"/>
    </row>
    <row r="933" spans="7:10" x14ac:dyDescent="0.3">
      <c r="G933" s="28"/>
      <c r="H933" s="28"/>
      <c r="I933" s="28"/>
      <c r="J933" s="31"/>
    </row>
    <row r="934" spans="7:10" x14ac:dyDescent="0.3">
      <c r="G934" s="28"/>
      <c r="H934" s="28"/>
      <c r="I934" s="28"/>
      <c r="J934" s="31"/>
    </row>
    <row r="935" spans="7:10" x14ac:dyDescent="0.3">
      <c r="G935" s="28"/>
      <c r="H935" s="28"/>
      <c r="I935" s="28"/>
      <c r="J935" s="31"/>
    </row>
    <row r="936" spans="7:10" x14ac:dyDescent="0.3">
      <c r="G936" s="28"/>
      <c r="H936" s="28"/>
      <c r="I936" s="28"/>
      <c r="J936" s="31"/>
    </row>
    <row r="937" spans="7:10" x14ac:dyDescent="0.3">
      <c r="G937" s="28"/>
      <c r="H937" s="28"/>
      <c r="I937" s="28"/>
      <c r="J937" s="31"/>
    </row>
    <row r="938" spans="7:10" x14ac:dyDescent="0.3">
      <c r="G938" s="28"/>
      <c r="H938" s="28"/>
      <c r="I938" s="28"/>
      <c r="J938" s="31"/>
    </row>
    <row r="939" spans="7:10" x14ac:dyDescent="0.3">
      <c r="G939" s="28"/>
      <c r="H939" s="28"/>
      <c r="I939" s="28"/>
      <c r="J939" s="31"/>
    </row>
    <row r="940" spans="7:10" x14ac:dyDescent="0.3">
      <c r="G940" s="28"/>
      <c r="H940" s="28"/>
      <c r="I940" s="28"/>
      <c r="J940" s="31"/>
    </row>
    <row r="941" spans="7:10" x14ac:dyDescent="0.3">
      <c r="G941" s="28"/>
      <c r="H941" s="28"/>
      <c r="I941" s="28"/>
      <c r="J941" s="31"/>
    </row>
    <row r="942" spans="7:10" x14ac:dyDescent="0.3">
      <c r="G942" s="28"/>
      <c r="H942" s="28"/>
      <c r="I942" s="28"/>
      <c r="J942" s="31"/>
    </row>
    <row r="943" spans="7:10" x14ac:dyDescent="0.3">
      <c r="G943" s="28"/>
      <c r="H943" s="28"/>
      <c r="I943" s="28"/>
      <c r="J943" s="31"/>
    </row>
    <row r="944" spans="7:10" x14ac:dyDescent="0.3">
      <c r="G944" s="28"/>
      <c r="H944" s="28"/>
      <c r="I944" s="28"/>
      <c r="J944" s="31"/>
    </row>
    <row r="945" spans="7:10" x14ac:dyDescent="0.3">
      <c r="G945" s="28"/>
      <c r="H945" s="28"/>
      <c r="I945" s="28"/>
      <c r="J945" s="31"/>
    </row>
    <row r="946" spans="7:10" x14ac:dyDescent="0.3">
      <c r="G946" s="28"/>
      <c r="H946" s="28"/>
      <c r="I946" s="28"/>
      <c r="J946" s="31"/>
    </row>
    <row r="947" spans="7:10" x14ac:dyDescent="0.3">
      <c r="G947" s="28"/>
      <c r="H947" s="28"/>
      <c r="I947" s="28"/>
      <c r="J947" s="31"/>
    </row>
    <row r="948" spans="7:10" x14ac:dyDescent="0.3">
      <c r="G948" s="28"/>
      <c r="H948" s="28"/>
      <c r="I948" s="28"/>
      <c r="J948" s="31"/>
    </row>
    <row r="949" spans="7:10" x14ac:dyDescent="0.3">
      <c r="G949" s="28"/>
      <c r="H949" s="28"/>
      <c r="I949" s="28"/>
      <c r="J949" s="31"/>
    </row>
    <row r="950" spans="7:10" x14ac:dyDescent="0.3">
      <c r="G950" s="28"/>
      <c r="H950" s="28"/>
      <c r="I950" s="28"/>
      <c r="J950" s="31"/>
    </row>
    <row r="951" spans="7:10" x14ac:dyDescent="0.3">
      <c r="G951" s="28"/>
      <c r="H951" s="28"/>
      <c r="I951" s="28"/>
      <c r="J951" s="31"/>
    </row>
    <row r="952" spans="7:10" x14ac:dyDescent="0.3">
      <c r="G952" s="28"/>
      <c r="H952" s="28"/>
      <c r="I952" s="28"/>
      <c r="J952" s="31"/>
    </row>
    <row r="953" spans="7:10" x14ac:dyDescent="0.3">
      <c r="G953" s="28"/>
      <c r="H953" s="28"/>
      <c r="I953" s="28"/>
      <c r="J953" s="31"/>
    </row>
    <row r="954" spans="7:10" x14ac:dyDescent="0.3">
      <c r="G954" s="28"/>
      <c r="H954" s="28"/>
      <c r="I954" s="28"/>
      <c r="J954" s="31"/>
    </row>
    <row r="955" spans="7:10" x14ac:dyDescent="0.3">
      <c r="G955" s="28"/>
      <c r="H955" s="28"/>
      <c r="I955" s="28"/>
      <c r="J955" s="31"/>
    </row>
    <row r="956" spans="7:10" x14ac:dyDescent="0.3">
      <c r="G956" s="28"/>
      <c r="H956" s="28"/>
      <c r="I956" s="28"/>
      <c r="J956" s="31"/>
    </row>
    <row r="957" spans="7:10" x14ac:dyDescent="0.3">
      <c r="G957" s="28"/>
      <c r="H957" s="28"/>
      <c r="I957" s="28"/>
      <c r="J957" s="31"/>
    </row>
    <row r="958" spans="7:10" x14ac:dyDescent="0.3">
      <c r="G958" s="28"/>
      <c r="H958" s="28"/>
      <c r="I958" s="28"/>
      <c r="J958" s="31"/>
    </row>
    <row r="959" spans="7:10" x14ac:dyDescent="0.3">
      <c r="G959" s="28"/>
      <c r="H959" s="28"/>
      <c r="I959" s="28"/>
      <c r="J959" s="31"/>
    </row>
    <row r="960" spans="7:10" x14ac:dyDescent="0.3">
      <c r="G960" s="28"/>
      <c r="H960" s="28"/>
      <c r="I960" s="28"/>
      <c r="J960" s="31"/>
    </row>
    <row r="961" spans="7:10" x14ac:dyDescent="0.3">
      <c r="G961" s="28"/>
      <c r="H961" s="28"/>
      <c r="I961" s="28"/>
      <c r="J961" s="31"/>
    </row>
    <row r="962" spans="7:10" x14ac:dyDescent="0.3">
      <c r="G962" s="28"/>
      <c r="H962" s="28"/>
      <c r="I962" s="28"/>
      <c r="J962" s="31"/>
    </row>
    <row r="963" spans="7:10" x14ac:dyDescent="0.3">
      <c r="G963" s="28"/>
      <c r="H963" s="28"/>
      <c r="I963" s="28"/>
      <c r="J963" s="31"/>
    </row>
    <row r="964" spans="7:10" x14ac:dyDescent="0.3">
      <c r="G964" s="28"/>
      <c r="H964" s="28"/>
      <c r="I964" s="28"/>
      <c r="J964" s="31"/>
    </row>
    <row r="965" spans="7:10" x14ac:dyDescent="0.3">
      <c r="G965" s="28"/>
      <c r="H965" s="28"/>
      <c r="I965" s="28"/>
      <c r="J965" s="31"/>
    </row>
    <row r="966" spans="7:10" x14ac:dyDescent="0.3">
      <c r="G966" s="28"/>
      <c r="H966" s="28"/>
      <c r="I966" s="28"/>
      <c r="J966" s="31"/>
    </row>
    <row r="967" spans="7:10" x14ac:dyDescent="0.3">
      <c r="G967" s="28"/>
      <c r="H967" s="28"/>
      <c r="I967" s="28"/>
      <c r="J967" s="31"/>
    </row>
    <row r="968" spans="7:10" x14ac:dyDescent="0.3">
      <c r="G968" s="28"/>
      <c r="H968" s="28"/>
      <c r="I968" s="28"/>
      <c r="J968" s="31"/>
    </row>
    <row r="969" spans="7:10" x14ac:dyDescent="0.3">
      <c r="G969" s="28"/>
      <c r="H969" s="28"/>
      <c r="I969" s="28"/>
      <c r="J969" s="31"/>
    </row>
    <row r="970" spans="7:10" x14ac:dyDescent="0.3">
      <c r="G970" s="28"/>
      <c r="H970" s="28"/>
      <c r="I970" s="28"/>
      <c r="J970" s="31"/>
    </row>
    <row r="971" spans="7:10" x14ac:dyDescent="0.3">
      <c r="G971" s="28"/>
      <c r="H971" s="28"/>
      <c r="I971" s="28"/>
      <c r="J971" s="31"/>
    </row>
    <row r="972" spans="7:10" x14ac:dyDescent="0.3">
      <c r="G972" s="28"/>
      <c r="H972" s="28"/>
      <c r="I972" s="28"/>
      <c r="J972" s="31"/>
    </row>
    <row r="973" spans="7:10" x14ac:dyDescent="0.3">
      <c r="G973" s="28"/>
      <c r="H973" s="28"/>
      <c r="I973" s="28"/>
      <c r="J973" s="31"/>
    </row>
    <row r="974" spans="7:10" x14ac:dyDescent="0.3">
      <c r="G974" s="28"/>
      <c r="H974" s="28"/>
      <c r="I974" s="28"/>
      <c r="J974" s="31"/>
    </row>
    <row r="975" spans="7:10" x14ac:dyDescent="0.3">
      <c r="G975" s="28"/>
      <c r="H975" s="28"/>
      <c r="I975" s="28"/>
      <c r="J975" s="31"/>
    </row>
    <row r="976" spans="7:10" x14ac:dyDescent="0.3">
      <c r="G976" s="28"/>
      <c r="H976" s="28"/>
      <c r="I976" s="28"/>
      <c r="J976" s="31"/>
    </row>
    <row r="977" spans="7:10" x14ac:dyDescent="0.3">
      <c r="G977" s="28"/>
      <c r="H977" s="28"/>
      <c r="I977" s="28"/>
      <c r="J977" s="31"/>
    </row>
    <row r="978" spans="7:10" x14ac:dyDescent="0.3">
      <c r="G978" s="28"/>
      <c r="H978" s="28"/>
      <c r="I978" s="28"/>
      <c r="J978" s="31"/>
    </row>
    <row r="979" spans="7:10" x14ac:dyDescent="0.3">
      <c r="G979" s="28"/>
      <c r="H979" s="28"/>
      <c r="I979" s="28"/>
      <c r="J979" s="31"/>
    </row>
    <row r="980" spans="7:10" x14ac:dyDescent="0.3">
      <c r="G980" s="28"/>
      <c r="H980" s="28"/>
      <c r="I980" s="28"/>
      <c r="J980" s="31"/>
    </row>
    <row r="981" spans="7:10" x14ac:dyDescent="0.3">
      <c r="G981" s="28"/>
      <c r="H981" s="28"/>
      <c r="I981" s="28"/>
      <c r="J981" s="31"/>
    </row>
    <row r="982" spans="7:10" x14ac:dyDescent="0.3">
      <c r="G982" s="28"/>
      <c r="H982" s="28"/>
      <c r="I982" s="28"/>
      <c r="J982" s="31"/>
    </row>
    <row r="983" spans="7:10" x14ac:dyDescent="0.3">
      <c r="G983" s="28"/>
      <c r="H983" s="28"/>
      <c r="I983" s="28"/>
      <c r="J983" s="31"/>
    </row>
    <row r="984" spans="7:10" x14ac:dyDescent="0.3">
      <c r="G984" s="28"/>
      <c r="H984" s="28"/>
      <c r="I984" s="28"/>
      <c r="J984" s="31"/>
    </row>
    <row r="985" spans="7:10" x14ac:dyDescent="0.3">
      <c r="G985" s="28"/>
      <c r="H985" s="28"/>
      <c r="I985" s="28"/>
      <c r="J985" s="31"/>
    </row>
    <row r="986" spans="7:10" x14ac:dyDescent="0.3">
      <c r="G986" s="28"/>
      <c r="H986" s="28"/>
      <c r="I986" s="28"/>
      <c r="J986" s="31"/>
    </row>
    <row r="987" spans="7:10" x14ac:dyDescent="0.3">
      <c r="G987" s="28"/>
      <c r="H987" s="28"/>
      <c r="I987" s="28"/>
      <c r="J987" s="31"/>
    </row>
    <row r="988" spans="7:10" x14ac:dyDescent="0.3">
      <c r="G988" s="28"/>
      <c r="H988" s="28"/>
      <c r="I988" s="28"/>
      <c r="J988" s="31"/>
    </row>
    <row r="989" spans="7:10" x14ac:dyDescent="0.3">
      <c r="G989" s="28"/>
      <c r="H989" s="28"/>
      <c r="I989" s="28"/>
      <c r="J989" s="31"/>
    </row>
    <row r="990" spans="7:10" x14ac:dyDescent="0.3">
      <c r="G990" s="28"/>
      <c r="H990" s="28"/>
      <c r="I990" s="28"/>
      <c r="J990" s="31"/>
    </row>
    <row r="991" spans="7:10" x14ac:dyDescent="0.3">
      <c r="G991" s="28"/>
      <c r="H991" s="28"/>
      <c r="I991" s="28"/>
      <c r="J991" s="31"/>
    </row>
    <row r="992" spans="7:10" x14ac:dyDescent="0.3">
      <c r="G992" s="28"/>
      <c r="H992" s="28"/>
      <c r="I992" s="28"/>
      <c r="J992" s="31"/>
    </row>
    <row r="993" spans="7:10" x14ac:dyDescent="0.3">
      <c r="G993" s="28"/>
      <c r="H993" s="28"/>
      <c r="I993" s="28"/>
      <c r="J993" s="31"/>
    </row>
    <row r="994" spans="7:10" x14ac:dyDescent="0.3">
      <c r="G994" s="28"/>
      <c r="H994" s="28"/>
      <c r="I994" s="28"/>
      <c r="J994" s="31"/>
    </row>
    <row r="995" spans="7:10" x14ac:dyDescent="0.3">
      <c r="G995" s="28"/>
      <c r="H995" s="28"/>
      <c r="I995" s="28"/>
      <c r="J995" s="31"/>
    </row>
    <row r="996" spans="7:10" x14ac:dyDescent="0.3">
      <c r="G996" s="28"/>
      <c r="H996" s="28"/>
      <c r="I996" s="28"/>
      <c r="J996" s="31"/>
    </row>
    <row r="997" spans="7:10" x14ac:dyDescent="0.3">
      <c r="G997" s="28"/>
      <c r="H997" s="28"/>
      <c r="I997" s="28"/>
      <c r="J997" s="31"/>
    </row>
    <row r="998" spans="7:10" x14ac:dyDescent="0.3">
      <c r="G998" s="28"/>
      <c r="H998" s="28"/>
      <c r="I998" s="28"/>
      <c r="J998" s="31"/>
    </row>
    <row r="999" spans="7:10" x14ac:dyDescent="0.3">
      <c r="G999" s="28"/>
      <c r="H999" s="28"/>
      <c r="I999" s="28"/>
      <c r="J999" s="31"/>
    </row>
    <row r="1000" spans="7:10" x14ac:dyDescent="0.3">
      <c r="G1000" s="28"/>
      <c r="H1000" s="28"/>
      <c r="I1000" s="28"/>
      <c r="J1000" s="31"/>
    </row>
    <row r="1001" spans="7:10" x14ac:dyDescent="0.3">
      <c r="G1001" s="28"/>
      <c r="H1001" s="28"/>
      <c r="I1001" s="28"/>
      <c r="J1001" s="31"/>
    </row>
    <row r="1002" spans="7:10" x14ac:dyDescent="0.3">
      <c r="G1002" s="28"/>
      <c r="H1002" s="28"/>
      <c r="I1002" s="28"/>
      <c r="J1002" s="31"/>
    </row>
    <row r="1003" spans="7:10" x14ac:dyDescent="0.3">
      <c r="G1003" s="28"/>
      <c r="H1003" s="28"/>
      <c r="I1003" s="28"/>
      <c r="J1003" s="31"/>
    </row>
    <row r="1004" spans="7:10" x14ac:dyDescent="0.3">
      <c r="G1004" s="28"/>
      <c r="H1004" s="28"/>
      <c r="I1004" s="28"/>
      <c r="J1004" s="31"/>
    </row>
    <row r="1005" spans="7:10" x14ac:dyDescent="0.3">
      <c r="G1005" s="28"/>
      <c r="H1005" s="28"/>
      <c r="I1005" s="28"/>
      <c r="J1005" s="31"/>
    </row>
    <row r="1006" spans="7:10" x14ac:dyDescent="0.3">
      <c r="G1006" s="28"/>
      <c r="H1006" s="28"/>
      <c r="I1006" s="28"/>
      <c r="J1006" s="31"/>
    </row>
    <row r="1007" spans="7:10" x14ac:dyDescent="0.3">
      <c r="G1007" s="28"/>
      <c r="H1007" s="28"/>
      <c r="I1007" s="28"/>
      <c r="J1007" s="31"/>
    </row>
    <row r="1008" spans="7:10" x14ac:dyDescent="0.3">
      <c r="G1008" s="28"/>
      <c r="H1008" s="28"/>
      <c r="I1008" s="28"/>
      <c r="J1008" s="31"/>
    </row>
    <row r="1009" spans="7:10" x14ac:dyDescent="0.3">
      <c r="G1009" s="28"/>
      <c r="H1009" s="28"/>
      <c r="I1009" s="28"/>
      <c r="J1009" s="31"/>
    </row>
    <row r="1010" spans="7:10" x14ac:dyDescent="0.3">
      <c r="G1010" s="28"/>
      <c r="H1010" s="28"/>
      <c r="I1010" s="28"/>
      <c r="J1010" s="31"/>
    </row>
    <row r="1011" spans="7:10" x14ac:dyDescent="0.3">
      <c r="G1011" s="28"/>
      <c r="H1011" s="28"/>
      <c r="I1011" s="28"/>
      <c r="J1011" s="31"/>
    </row>
    <row r="1012" spans="7:10" x14ac:dyDescent="0.3">
      <c r="G1012" s="28"/>
      <c r="H1012" s="28"/>
      <c r="I1012" s="28"/>
      <c r="J1012" s="31"/>
    </row>
    <row r="1013" spans="7:10" x14ac:dyDescent="0.3">
      <c r="G1013" s="28"/>
      <c r="H1013" s="28"/>
      <c r="I1013" s="28"/>
      <c r="J1013" s="31"/>
    </row>
    <row r="1014" spans="7:10" x14ac:dyDescent="0.3">
      <c r="G1014" s="28"/>
      <c r="H1014" s="28"/>
      <c r="I1014" s="28"/>
      <c r="J1014" s="31"/>
    </row>
    <row r="1015" spans="7:10" x14ac:dyDescent="0.3">
      <c r="G1015" s="28"/>
      <c r="H1015" s="28"/>
      <c r="I1015" s="28"/>
      <c r="J1015" s="31"/>
    </row>
    <row r="1016" spans="7:10" x14ac:dyDescent="0.3">
      <c r="G1016" s="28"/>
      <c r="H1016" s="28"/>
      <c r="I1016" s="28"/>
      <c r="J1016" s="31"/>
    </row>
    <row r="1017" spans="7:10" x14ac:dyDescent="0.3">
      <c r="G1017" s="28"/>
      <c r="H1017" s="28"/>
      <c r="I1017" s="28"/>
      <c r="J1017" s="31"/>
    </row>
    <row r="1018" spans="7:10" x14ac:dyDescent="0.3">
      <c r="G1018" s="28"/>
      <c r="H1018" s="28"/>
      <c r="I1018" s="28"/>
      <c r="J1018" s="31"/>
    </row>
    <row r="1019" spans="7:10" x14ac:dyDescent="0.3">
      <c r="G1019" s="28"/>
      <c r="H1019" s="28"/>
      <c r="I1019" s="28"/>
      <c r="J1019" s="31"/>
    </row>
    <row r="1020" spans="7:10" x14ac:dyDescent="0.3">
      <c r="G1020" s="28"/>
      <c r="H1020" s="28"/>
      <c r="I1020" s="28"/>
      <c r="J1020" s="31"/>
    </row>
    <row r="1021" spans="7:10" x14ac:dyDescent="0.3">
      <c r="G1021" s="28"/>
      <c r="H1021" s="28"/>
      <c r="I1021" s="28"/>
      <c r="J1021" s="31"/>
    </row>
    <row r="1022" spans="7:10" x14ac:dyDescent="0.3">
      <c r="G1022" s="28"/>
      <c r="H1022" s="28"/>
      <c r="I1022" s="28"/>
      <c r="J1022" s="31"/>
    </row>
    <row r="1023" spans="7:10" x14ac:dyDescent="0.3">
      <c r="G1023" s="28"/>
      <c r="H1023" s="28"/>
      <c r="I1023" s="28"/>
      <c r="J1023" s="31"/>
    </row>
    <row r="1024" spans="7:10" x14ac:dyDescent="0.3">
      <c r="G1024" s="28"/>
      <c r="H1024" s="28"/>
      <c r="I1024" s="28"/>
      <c r="J1024" s="31"/>
    </row>
    <row r="1025" spans="7:10" x14ac:dyDescent="0.3">
      <c r="G1025" s="28"/>
      <c r="H1025" s="28"/>
      <c r="I1025" s="28"/>
      <c r="J1025" s="31"/>
    </row>
    <row r="1026" spans="7:10" x14ac:dyDescent="0.3">
      <c r="G1026" s="28"/>
      <c r="H1026" s="28"/>
      <c r="I1026" s="28"/>
      <c r="J1026" s="31"/>
    </row>
    <row r="1027" spans="7:10" x14ac:dyDescent="0.3">
      <c r="G1027" s="28"/>
      <c r="H1027" s="28"/>
      <c r="I1027" s="28"/>
      <c r="J1027" s="31"/>
    </row>
    <row r="1028" spans="7:10" x14ac:dyDescent="0.3">
      <c r="G1028" s="28"/>
      <c r="H1028" s="28"/>
      <c r="I1028" s="28"/>
      <c r="J1028" s="31"/>
    </row>
    <row r="1029" spans="7:10" x14ac:dyDescent="0.3">
      <c r="G1029" s="28"/>
      <c r="H1029" s="28"/>
      <c r="I1029" s="28"/>
      <c r="J1029" s="31"/>
    </row>
    <row r="1030" spans="7:10" x14ac:dyDescent="0.3">
      <c r="G1030" s="28"/>
      <c r="H1030" s="28"/>
      <c r="I1030" s="28"/>
      <c r="J1030" s="31"/>
    </row>
    <row r="1031" spans="7:10" x14ac:dyDescent="0.3">
      <c r="G1031" s="28"/>
      <c r="H1031" s="28"/>
      <c r="I1031" s="28"/>
      <c r="J1031" s="31"/>
    </row>
    <row r="1032" spans="7:10" x14ac:dyDescent="0.3">
      <c r="G1032" s="28"/>
      <c r="H1032" s="28"/>
      <c r="I1032" s="28"/>
      <c r="J1032" s="31"/>
    </row>
    <row r="1033" spans="7:10" x14ac:dyDescent="0.3">
      <c r="G1033" s="28"/>
      <c r="H1033" s="28"/>
      <c r="I1033" s="28"/>
      <c r="J1033" s="31"/>
    </row>
    <row r="1034" spans="7:10" x14ac:dyDescent="0.3">
      <c r="G1034" s="28"/>
      <c r="H1034" s="28"/>
      <c r="I1034" s="28"/>
      <c r="J1034" s="31"/>
    </row>
    <row r="1035" spans="7:10" x14ac:dyDescent="0.3">
      <c r="G1035" s="28"/>
      <c r="H1035" s="28"/>
      <c r="I1035" s="28"/>
      <c r="J1035" s="31"/>
    </row>
    <row r="1036" spans="7:10" x14ac:dyDescent="0.3">
      <c r="G1036" s="28"/>
      <c r="H1036" s="28"/>
      <c r="I1036" s="28"/>
      <c r="J1036" s="31"/>
    </row>
    <row r="1037" spans="7:10" x14ac:dyDescent="0.3">
      <c r="G1037" s="28"/>
      <c r="H1037" s="28"/>
      <c r="I1037" s="28"/>
      <c r="J1037" s="31"/>
    </row>
    <row r="1038" spans="7:10" x14ac:dyDescent="0.3">
      <c r="G1038" s="28"/>
      <c r="H1038" s="28"/>
      <c r="I1038" s="28"/>
      <c r="J1038" s="31"/>
    </row>
    <row r="1039" spans="7:10" x14ac:dyDescent="0.3">
      <c r="G1039" s="28"/>
      <c r="H1039" s="28"/>
      <c r="I1039" s="28"/>
      <c r="J1039" s="31"/>
    </row>
    <row r="1040" spans="7:10" x14ac:dyDescent="0.3">
      <c r="G1040" s="28"/>
      <c r="H1040" s="28"/>
      <c r="I1040" s="28"/>
      <c r="J1040" s="31"/>
    </row>
    <row r="1041" spans="7:10" x14ac:dyDescent="0.3">
      <c r="G1041" s="28"/>
      <c r="H1041" s="28"/>
      <c r="I1041" s="28"/>
      <c r="J1041" s="31"/>
    </row>
    <row r="1042" spans="7:10" x14ac:dyDescent="0.3">
      <c r="G1042" s="28"/>
      <c r="H1042" s="28"/>
      <c r="I1042" s="28"/>
      <c r="J1042" s="31"/>
    </row>
    <row r="1043" spans="7:10" x14ac:dyDescent="0.3">
      <c r="G1043" s="28"/>
      <c r="H1043" s="28"/>
      <c r="I1043" s="28"/>
      <c r="J1043" s="31"/>
    </row>
    <row r="1044" spans="7:10" x14ac:dyDescent="0.3">
      <c r="G1044" s="28"/>
      <c r="H1044" s="28"/>
      <c r="I1044" s="28"/>
      <c r="J1044" s="31"/>
    </row>
    <row r="1045" spans="7:10" x14ac:dyDescent="0.3">
      <c r="G1045" s="28"/>
      <c r="H1045" s="28"/>
      <c r="I1045" s="28"/>
      <c r="J1045" s="31"/>
    </row>
    <row r="1046" spans="7:10" x14ac:dyDescent="0.3">
      <c r="G1046" s="28"/>
      <c r="H1046" s="28"/>
      <c r="I1046" s="28"/>
      <c r="J1046" s="31"/>
    </row>
    <row r="1047" spans="7:10" x14ac:dyDescent="0.3">
      <c r="G1047" s="28"/>
      <c r="H1047" s="28"/>
      <c r="I1047" s="28"/>
      <c r="J1047" s="31"/>
    </row>
    <row r="1048" spans="7:10" x14ac:dyDescent="0.3">
      <c r="G1048" s="28"/>
      <c r="H1048" s="28"/>
      <c r="I1048" s="28"/>
      <c r="J1048" s="31"/>
    </row>
    <row r="1049" spans="7:10" x14ac:dyDescent="0.3">
      <c r="G1049" s="28"/>
      <c r="H1049" s="28"/>
      <c r="I1049" s="28"/>
      <c r="J1049" s="31"/>
    </row>
    <row r="1050" spans="7:10" x14ac:dyDescent="0.3">
      <c r="G1050" s="28"/>
      <c r="H1050" s="28"/>
      <c r="I1050" s="28"/>
      <c r="J1050" s="31"/>
    </row>
    <row r="1051" spans="7:10" x14ac:dyDescent="0.3">
      <c r="G1051" s="28"/>
      <c r="H1051" s="28"/>
      <c r="I1051" s="28"/>
      <c r="J1051" s="31"/>
    </row>
    <row r="1052" spans="7:10" x14ac:dyDescent="0.3">
      <c r="G1052" s="28"/>
      <c r="H1052" s="28"/>
      <c r="I1052" s="28"/>
      <c r="J1052" s="31"/>
    </row>
    <row r="1053" spans="7:10" x14ac:dyDescent="0.3">
      <c r="G1053" s="28"/>
      <c r="H1053" s="28"/>
      <c r="I1053" s="28"/>
      <c r="J1053" s="31"/>
    </row>
    <row r="1054" spans="7:10" x14ac:dyDescent="0.3">
      <c r="G1054" s="28"/>
      <c r="H1054" s="28"/>
      <c r="I1054" s="28"/>
      <c r="J1054" s="31"/>
    </row>
    <row r="1055" spans="7:10" x14ac:dyDescent="0.3">
      <c r="G1055" s="28"/>
      <c r="H1055" s="28"/>
      <c r="I1055" s="28"/>
      <c r="J1055" s="31"/>
    </row>
    <row r="1056" spans="7:10" x14ac:dyDescent="0.3">
      <c r="G1056" s="28"/>
      <c r="H1056" s="28"/>
      <c r="I1056" s="28"/>
      <c r="J1056" s="31"/>
    </row>
    <row r="1057" spans="7:10" x14ac:dyDescent="0.3">
      <c r="G1057" s="28"/>
      <c r="H1057" s="28"/>
      <c r="I1057" s="28"/>
      <c r="J1057" s="31"/>
    </row>
    <row r="1058" spans="7:10" x14ac:dyDescent="0.3">
      <c r="G1058" s="28"/>
      <c r="H1058" s="28"/>
      <c r="I1058" s="28"/>
      <c r="J1058" s="31"/>
    </row>
    <row r="1059" spans="7:10" x14ac:dyDescent="0.3">
      <c r="G1059" s="28"/>
      <c r="H1059" s="28"/>
      <c r="I1059" s="28"/>
      <c r="J1059" s="31"/>
    </row>
    <row r="1060" spans="7:10" x14ac:dyDescent="0.3">
      <c r="G1060" s="28"/>
      <c r="H1060" s="28"/>
      <c r="I1060" s="28"/>
      <c r="J1060" s="31"/>
    </row>
    <row r="1061" spans="7:10" x14ac:dyDescent="0.3">
      <c r="G1061" s="28"/>
      <c r="H1061" s="28"/>
      <c r="I1061" s="28"/>
      <c r="J1061" s="31"/>
    </row>
    <row r="1062" spans="7:10" x14ac:dyDescent="0.3">
      <c r="G1062" s="28"/>
      <c r="H1062" s="28"/>
      <c r="I1062" s="28"/>
      <c r="J1062" s="31"/>
    </row>
    <row r="1063" spans="7:10" x14ac:dyDescent="0.3">
      <c r="G1063" s="28"/>
      <c r="H1063" s="28"/>
      <c r="I1063" s="28"/>
      <c r="J1063" s="31"/>
    </row>
    <row r="1064" spans="7:10" x14ac:dyDescent="0.3">
      <c r="G1064" s="28"/>
      <c r="H1064" s="28"/>
      <c r="I1064" s="28"/>
      <c r="J1064" s="31"/>
    </row>
    <row r="1065" spans="7:10" x14ac:dyDescent="0.3">
      <c r="G1065" s="28"/>
      <c r="H1065" s="28"/>
      <c r="I1065" s="28"/>
      <c r="J1065" s="31"/>
    </row>
    <row r="1066" spans="7:10" x14ac:dyDescent="0.3">
      <c r="G1066" s="28"/>
      <c r="H1066" s="28"/>
      <c r="I1066" s="28"/>
      <c r="J1066" s="31"/>
    </row>
    <row r="1067" spans="7:10" x14ac:dyDescent="0.3">
      <c r="G1067" s="28"/>
      <c r="H1067" s="28"/>
      <c r="I1067" s="28"/>
      <c r="J1067" s="31"/>
    </row>
    <row r="1068" spans="7:10" x14ac:dyDescent="0.3">
      <c r="G1068" s="28"/>
      <c r="H1068" s="28"/>
      <c r="I1068" s="28"/>
      <c r="J1068" s="31"/>
    </row>
    <row r="1069" spans="7:10" x14ac:dyDescent="0.3">
      <c r="G1069" s="28"/>
      <c r="H1069" s="28"/>
      <c r="I1069" s="28"/>
      <c r="J1069" s="31"/>
    </row>
    <row r="1070" spans="7:10" x14ac:dyDescent="0.3">
      <c r="G1070" s="28"/>
      <c r="H1070" s="28"/>
      <c r="I1070" s="28"/>
      <c r="J1070" s="31"/>
    </row>
    <row r="1071" spans="7:10" x14ac:dyDescent="0.3">
      <c r="G1071" s="28"/>
      <c r="H1071" s="28"/>
      <c r="I1071" s="28"/>
      <c r="J1071" s="31"/>
    </row>
    <row r="1072" spans="7:10" x14ac:dyDescent="0.3">
      <c r="G1072" s="28"/>
      <c r="H1072" s="28"/>
      <c r="I1072" s="28"/>
      <c r="J1072" s="31"/>
    </row>
    <row r="1073" spans="7:10" x14ac:dyDescent="0.3">
      <c r="G1073" s="28"/>
      <c r="H1073" s="28"/>
      <c r="I1073" s="28"/>
      <c r="J1073" s="31"/>
    </row>
    <row r="1074" spans="7:10" x14ac:dyDescent="0.3">
      <c r="G1074" s="28"/>
      <c r="H1074" s="28"/>
      <c r="I1074" s="28"/>
      <c r="J1074" s="31"/>
    </row>
    <row r="1075" spans="7:10" x14ac:dyDescent="0.3">
      <c r="G1075" s="28"/>
      <c r="H1075" s="28"/>
      <c r="I1075" s="28"/>
      <c r="J1075" s="31"/>
    </row>
    <row r="1076" spans="7:10" x14ac:dyDescent="0.3">
      <c r="G1076" s="28"/>
      <c r="H1076" s="28"/>
      <c r="I1076" s="28"/>
      <c r="J1076" s="31"/>
    </row>
    <row r="1077" spans="7:10" x14ac:dyDescent="0.3">
      <c r="G1077" s="28"/>
      <c r="H1077" s="28"/>
      <c r="I1077" s="28"/>
      <c r="J1077" s="31"/>
    </row>
    <row r="1078" spans="7:10" x14ac:dyDescent="0.3">
      <c r="G1078" s="28"/>
      <c r="H1078" s="28"/>
      <c r="I1078" s="28"/>
      <c r="J1078" s="31"/>
    </row>
    <row r="1079" spans="7:10" x14ac:dyDescent="0.3">
      <c r="G1079" s="28"/>
      <c r="H1079" s="28"/>
      <c r="I1079" s="28"/>
      <c r="J1079" s="31"/>
    </row>
    <row r="1080" spans="7:10" x14ac:dyDescent="0.3">
      <c r="G1080" s="28"/>
      <c r="H1080" s="28"/>
      <c r="I1080" s="28"/>
      <c r="J1080" s="31"/>
    </row>
    <row r="1081" spans="7:10" x14ac:dyDescent="0.3">
      <c r="G1081" s="28"/>
      <c r="H1081" s="28"/>
      <c r="I1081" s="28"/>
      <c r="J1081" s="31"/>
    </row>
    <row r="1082" spans="7:10" x14ac:dyDescent="0.3">
      <c r="G1082" s="28"/>
      <c r="H1082" s="28"/>
      <c r="I1082" s="28"/>
      <c r="J1082" s="31"/>
    </row>
    <row r="1083" spans="7:10" x14ac:dyDescent="0.3">
      <c r="G1083" s="28"/>
      <c r="H1083" s="28"/>
      <c r="I1083" s="28"/>
      <c r="J1083" s="31"/>
    </row>
    <row r="1084" spans="7:10" x14ac:dyDescent="0.3">
      <c r="G1084" s="28"/>
      <c r="H1084" s="28"/>
      <c r="I1084" s="28"/>
      <c r="J1084" s="31"/>
    </row>
    <row r="1085" spans="7:10" x14ac:dyDescent="0.3">
      <c r="G1085" s="28"/>
      <c r="H1085" s="28"/>
      <c r="I1085" s="28"/>
      <c r="J1085" s="31"/>
    </row>
    <row r="1086" spans="7:10" x14ac:dyDescent="0.3">
      <c r="G1086" s="28"/>
      <c r="H1086" s="28"/>
      <c r="I1086" s="28"/>
      <c r="J1086" s="31"/>
    </row>
    <row r="1087" spans="7:10" x14ac:dyDescent="0.3">
      <c r="G1087" s="28"/>
      <c r="H1087" s="28"/>
      <c r="I1087" s="28"/>
      <c r="J1087" s="31"/>
    </row>
    <row r="1088" spans="7:10" x14ac:dyDescent="0.3">
      <c r="G1088" s="28"/>
      <c r="H1088" s="28"/>
      <c r="I1088" s="28"/>
      <c r="J1088" s="31"/>
    </row>
    <row r="1089" spans="7:10" x14ac:dyDescent="0.3">
      <c r="G1089" s="28"/>
      <c r="H1089" s="28"/>
      <c r="I1089" s="28"/>
      <c r="J1089" s="31"/>
    </row>
    <row r="1090" spans="7:10" x14ac:dyDescent="0.3">
      <c r="G1090" s="28"/>
      <c r="H1090" s="28"/>
      <c r="I1090" s="28"/>
      <c r="J1090" s="31"/>
    </row>
    <row r="1091" spans="7:10" x14ac:dyDescent="0.3">
      <c r="G1091" s="28"/>
      <c r="H1091" s="28"/>
      <c r="I1091" s="28"/>
      <c r="J1091" s="31"/>
    </row>
    <row r="1092" spans="7:10" x14ac:dyDescent="0.3">
      <c r="G1092" s="28"/>
      <c r="H1092" s="28"/>
      <c r="I1092" s="28"/>
      <c r="J1092" s="31"/>
    </row>
    <row r="1093" spans="7:10" x14ac:dyDescent="0.3">
      <c r="G1093" s="28"/>
      <c r="H1093" s="28"/>
      <c r="I1093" s="28"/>
      <c r="J1093" s="31"/>
    </row>
    <row r="1094" spans="7:10" x14ac:dyDescent="0.3">
      <c r="G1094" s="28"/>
      <c r="H1094" s="28"/>
      <c r="I1094" s="28"/>
      <c r="J1094" s="31"/>
    </row>
    <row r="1095" spans="7:10" x14ac:dyDescent="0.3">
      <c r="G1095" s="28"/>
      <c r="H1095" s="28"/>
      <c r="I1095" s="28"/>
      <c r="J1095" s="31"/>
    </row>
    <row r="1096" spans="7:10" x14ac:dyDescent="0.3">
      <c r="G1096" s="28"/>
      <c r="H1096" s="28"/>
      <c r="I1096" s="28"/>
      <c r="J1096" s="31"/>
    </row>
    <row r="1097" spans="7:10" x14ac:dyDescent="0.3">
      <c r="G1097" s="28"/>
      <c r="H1097" s="28"/>
      <c r="I1097" s="28"/>
      <c r="J1097" s="31"/>
    </row>
    <row r="1098" spans="7:10" x14ac:dyDescent="0.3">
      <c r="G1098" s="28"/>
      <c r="H1098" s="28"/>
      <c r="I1098" s="28"/>
      <c r="J1098" s="31"/>
    </row>
    <row r="1099" spans="7:10" x14ac:dyDescent="0.3">
      <c r="G1099" s="28"/>
      <c r="H1099" s="28"/>
      <c r="I1099" s="28"/>
      <c r="J1099" s="31"/>
    </row>
    <row r="1100" spans="7:10" x14ac:dyDescent="0.3">
      <c r="G1100" s="28"/>
      <c r="H1100" s="28"/>
      <c r="I1100" s="28"/>
      <c r="J1100" s="31"/>
    </row>
    <row r="1101" spans="7:10" x14ac:dyDescent="0.3">
      <c r="G1101" s="28"/>
      <c r="H1101" s="28"/>
      <c r="I1101" s="28"/>
      <c r="J1101" s="31"/>
    </row>
    <row r="1102" spans="7:10" x14ac:dyDescent="0.3">
      <c r="G1102" s="28"/>
      <c r="H1102" s="28"/>
      <c r="I1102" s="28"/>
      <c r="J1102" s="31"/>
    </row>
    <row r="1103" spans="7:10" x14ac:dyDescent="0.3">
      <c r="G1103" s="28"/>
      <c r="H1103" s="28"/>
      <c r="I1103" s="28"/>
      <c r="J1103" s="31"/>
    </row>
    <row r="1104" spans="7:10" x14ac:dyDescent="0.3">
      <c r="G1104" s="28"/>
      <c r="H1104" s="28"/>
      <c r="I1104" s="28"/>
      <c r="J1104" s="31"/>
    </row>
    <row r="1105" spans="7:10" x14ac:dyDescent="0.3">
      <c r="G1105" s="28"/>
      <c r="H1105" s="28"/>
      <c r="I1105" s="28"/>
      <c r="J1105" s="31"/>
    </row>
    <row r="1106" spans="7:10" x14ac:dyDescent="0.3">
      <c r="G1106" s="28"/>
      <c r="H1106" s="28"/>
      <c r="I1106" s="28"/>
      <c r="J1106" s="31"/>
    </row>
    <row r="1107" spans="7:10" x14ac:dyDescent="0.3">
      <c r="G1107" s="28"/>
      <c r="H1107" s="28"/>
      <c r="I1107" s="28"/>
      <c r="J1107" s="31"/>
    </row>
    <row r="1108" spans="7:10" x14ac:dyDescent="0.3">
      <c r="G1108" s="28"/>
      <c r="H1108" s="28"/>
      <c r="I1108" s="28"/>
      <c r="J1108" s="31"/>
    </row>
    <row r="1109" spans="7:10" x14ac:dyDescent="0.3">
      <c r="G1109" s="28"/>
      <c r="H1109" s="28"/>
      <c r="I1109" s="28"/>
      <c r="J1109" s="31"/>
    </row>
    <row r="1110" spans="7:10" x14ac:dyDescent="0.3">
      <c r="G1110" s="28"/>
      <c r="H1110" s="28"/>
      <c r="I1110" s="28"/>
      <c r="J1110" s="31"/>
    </row>
    <row r="1111" spans="7:10" x14ac:dyDescent="0.3">
      <c r="G1111" s="28"/>
      <c r="H1111" s="28"/>
      <c r="I1111" s="28"/>
      <c r="J1111" s="31"/>
    </row>
    <row r="1112" spans="7:10" x14ac:dyDescent="0.3">
      <c r="G1112" s="28"/>
      <c r="H1112" s="28"/>
      <c r="I1112" s="28"/>
      <c r="J1112" s="31"/>
    </row>
    <row r="1113" spans="7:10" x14ac:dyDescent="0.3">
      <c r="G1113" s="28"/>
      <c r="H1113" s="28"/>
      <c r="I1113" s="28"/>
      <c r="J1113" s="31"/>
    </row>
    <row r="1114" spans="7:10" x14ac:dyDescent="0.3">
      <c r="G1114" s="28"/>
      <c r="H1114" s="28"/>
      <c r="I1114" s="28"/>
      <c r="J1114" s="31"/>
    </row>
    <row r="1115" spans="7:10" x14ac:dyDescent="0.3">
      <c r="G1115" s="28"/>
      <c r="H1115" s="28"/>
      <c r="I1115" s="28"/>
      <c r="J1115" s="31"/>
    </row>
    <row r="1116" spans="7:10" x14ac:dyDescent="0.3">
      <c r="G1116" s="28"/>
      <c r="H1116" s="28"/>
      <c r="I1116" s="28"/>
      <c r="J1116" s="31"/>
    </row>
    <row r="1117" spans="7:10" x14ac:dyDescent="0.3">
      <c r="G1117" s="28"/>
      <c r="H1117" s="28"/>
      <c r="I1117" s="28"/>
      <c r="J1117" s="31"/>
    </row>
    <row r="1118" spans="7:10" x14ac:dyDescent="0.3">
      <c r="G1118" s="28"/>
      <c r="H1118" s="28"/>
      <c r="I1118" s="28"/>
      <c r="J1118" s="31"/>
    </row>
    <row r="1119" spans="7:10" x14ac:dyDescent="0.3">
      <c r="G1119" s="28"/>
      <c r="H1119" s="28"/>
      <c r="I1119" s="28"/>
      <c r="J1119" s="31"/>
    </row>
    <row r="1120" spans="7:10" x14ac:dyDescent="0.3">
      <c r="G1120" s="28"/>
      <c r="H1120" s="28"/>
      <c r="I1120" s="28"/>
      <c r="J1120" s="31"/>
    </row>
    <row r="1121" spans="7:10" x14ac:dyDescent="0.3">
      <c r="G1121" s="28"/>
      <c r="H1121" s="28"/>
      <c r="I1121" s="28"/>
      <c r="J1121" s="31"/>
    </row>
    <row r="1122" spans="7:10" x14ac:dyDescent="0.3">
      <c r="G1122" s="28"/>
      <c r="H1122" s="28"/>
      <c r="I1122" s="28"/>
      <c r="J1122" s="31"/>
    </row>
    <row r="1123" spans="7:10" x14ac:dyDescent="0.3">
      <c r="G1123" s="28"/>
      <c r="H1123" s="28"/>
      <c r="I1123" s="28"/>
      <c r="J1123" s="31"/>
    </row>
    <row r="1124" spans="7:10" x14ac:dyDescent="0.3">
      <c r="G1124" s="28"/>
      <c r="H1124" s="28"/>
      <c r="I1124" s="28"/>
      <c r="J1124" s="31"/>
    </row>
    <row r="1125" spans="7:10" x14ac:dyDescent="0.3">
      <c r="G1125" s="28"/>
      <c r="H1125" s="28"/>
      <c r="I1125" s="28"/>
      <c r="J1125" s="31"/>
    </row>
    <row r="1126" spans="7:10" x14ac:dyDescent="0.3">
      <c r="G1126" s="28"/>
      <c r="H1126" s="28"/>
      <c r="I1126" s="28"/>
      <c r="J1126" s="31"/>
    </row>
    <row r="1127" spans="7:10" x14ac:dyDescent="0.3">
      <c r="G1127" s="28"/>
      <c r="H1127" s="28"/>
      <c r="I1127" s="28"/>
      <c r="J1127" s="31"/>
    </row>
    <row r="1128" spans="7:10" x14ac:dyDescent="0.3">
      <c r="G1128" s="28"/>
      <c r="H1128" s="28"/>
      <c r="I1128" s="28"/>
      <c r="J1128" s="31"/>
    </row>
    <row r="1129" spans="7:10" x14ac:dyDescent="0.3">
      <c r="G1129" s="28"/>
      <c r="H1129" s="28"/>
      <c r="I1129" s="28"/>
      <c r="J1129" s="31"/>
    </row>
    <row r="1130" spans="7:10" x14ac:dyDescent="0.3">
      <c r="G1130" s="28"/>
      <c r="H1130" s="28"/>
      <c r="I1130" s="28"/>
      <c r="J1130" s="31"/>
    </row>
    <row r="1131" spans="7:10" x14ac:dyDescent="0.3">
      <c r="G1131" s="28"/>
      <c r="H1131" s="28"/>
      <c r="I1131" s="28"/>
      <c r="J1131" s="31"/>
    </row>
    <row r="1132" spans="7:10" x14ac:dyDescent="0.3">
      <c r="G1132" s="28"/>
      <c r="H1132" s="28"/>
      <c r="I1132" s="28"/>
      <c r="J1132" s="31"/>
    </row>
    <row r="1133" spans="7:10" x14ac:dyDescent="0.3">
      <c r="G1133" s="28"/>
      <c r="H1133" s="28"/>
      <c r="I1133" s="28"/>
      <c r="J1133" s="31"/>
    </row>
    <row r="1134" spans="7:10" x14ac:dyDescent="0.3">
      <c r="G1134" s="28"/>
      <c r="H1134" s="28"/>
      <c r="I1134" s="28"/>
      <c r="J1134" s="31"/>
    </row>
    <row r="1135" spans="7:10" x14ac:dyDescent="0.3">
      <c r="G1135" s="28"/>
      <c r="H1135" s="28"/>
      <c r="I1135" s="28"/>
      <c r="J1135" s="31"/>
    </row>
    <row r="1136" spans="7:10" x14ac:dyDescent="0.3">
      <c r="G1136" s="28"/>
      <c r="H1136" s="28"/>
      <c r="I1136" s="28"/>
      <c r="J1136" s="31"/>
    </row>
    <row r="1137" spans="7:10" x14ac:dyDescent="0.3">
      <c r="G1137" s="28"/>
      <c r="H1137" s="28"/>
      <c r="I1137" s="28"/>
      <c r="J1137" s="31"/>
    </row>
    <row r="1138" spans="7:10" x14ac:dyDescent="0.3">
      <c r="G1138" s="28"/>
      <c r="H1138" s="28"/>
      <c r="I1138" s="28"/>
      <c r="J1138" s="31"/>
    </row>
    <row r="1139" spans="7:10" x14ac:dyDescent="0.3">
      <c r="G1139" s="28"/>
      <c r="H1139" s="28"/>
      <c r="I1139" s="28"/>
      <c r="J1139" s="31"/>
    </row>
    <row r="1140" spans="7:10" x14ac:dyDescent="0.3">
      <c r="G1140" s="28"/>
      <c r="H1140" s="28"/>
      <c r="I1140" s="28"/>
      <c r="J1140" s="31"/>
    </row>
    <row r="1141" spans="7:10" x14ac:dyDescent="0.3">
      <c r="G1141" s="28"/>
      <c r="H1141" s="28"/>
      <c r="I1141" s="28"/>
      <c r="J1141" s="31"/>
    </row>
    <row r="1142" spans="7:10" x14ac:dyDescent="0.3">
      <c r="G1142" s="28"/>
      <c r="H1142" s="28"/>
      <c r="I1142" s="28"/>
      <c r="J1142" s="31"/>
    </row>
    <row r="1143" spans="7:10" x14ac:dyDescent="0.3">
      <c r="G1143" s="28"/>
      <c r="H1143" s="28"/>
      <c r="I1143" s="28"/>
      <c r="J1143" s="31"/>
    </row>
    <row r="1144" spans="7:10" x14ac:dyDescent="0.3">
      <c r="G1144" s="28"/>
      <c r="H1144" s="28"/>
      <c r="I1144" s="28"/>
      <c r="J1144" s="31"/>
    </row>
    <row r="1145" spans="7:10" x14ac:dyDescent="0.3">
      <c r="G1145" s="28"/>
      <c r="H1145" s="28"/>
      <c r="I1145" s="28"/>
      <c r="J1145" s="31"/>
    </row>
    <row r="1146" spans="7:10" x14ac:dyDescent="0.3">
      <c r="G1146" s="28"/>
      <c r="H1146" s="28"/>
      <c r="I1146" s="28"/>
      <c r="J1146" s="31"/>
    </row>
    <row r="1147" spans="7:10" x14ac:dyDescent="0.3">
      <c r="G1147" s="28"/>
      <c r="H1147" s="28"/>
      <c r="I1147" s="28"/>
      <c r="J1147" s="31"/>
    </row>
    <row r="1148" spans="7:10" x14ac:dyDescent="0.3">
      <c r="G1148" s="28"/>
      <c r="H1148" s="28"/>
      <c r="I1148" s="28"/>
      <c r="J1148" s="31"/>
    </row>
    <row r="1149" spans="7:10" x14ac:dyDescent="0.3">
      <c r="G1149" s="28"/>
      <c r="H1149" s="28"/>
      <c r="I1149" s="28"/>
      <c r="J1149" s="31"/>
    </row>
    <row r="1150" spans="7:10" x14ac:dyDescent="0.3">
      <c r="G1150" s="28"/>
      <c r="H1150" s="28"/>
      <c r="I1150" s="28"/>
      <c r="J1150" s="31"/>
    </row>
    <row r="1151" spans="7:10" x14ac:dyDescent="0.3">
      <c r="G1151" s="28"/>
      <c r="H1151" s="28"/>
      <c r="I1151" s="28"/>
      <c r="J1151" s="31"/>
    </row>
    <row r="1152" spans="7:10" x14ac:dyDescent="0.3">
      <c r="G1152" s="28"/>
      <c r="H1152" s="28"/>
      <c r="I1152" s="28"/>
      <c r="J1152" s="31"/>
    </row>
    <row r="1153" spans="7:10" x14ac:dyDescent="0.3">
      <c r="G1153" s="28"/>
      <c r="H1153" s="28"/>
      <c r="I1153" s="28"/>
      <c r="J1153" s="31"/>
    </row>
    <row r="1154" spans="7:10" x14ac:dyDescent="0.3">
      <c r="G1154" s="28"/>
      <c r="H1154" s="28"/>
      <c r="I1154" s="28"/>
      <c r="J1154" s="31"/>
    </row>
    <row r="1155" spans="7:10" x14ac:dyDescent="0.3">
      <c r="G1155" s="28"/>
      <c r="H1155" s="28"/>
      <c r="I1155" s="28"/>
      <c r="J1155" s="31"/>
    </row>
    <row r="1156" spans="7:10" x14ac:dyDescent="0.3">
      <c r="G1156" s="28"/>
      <c r="H1156" s="28"/>
      <c r="I1156" s="28"/>
      <c r="J1156" s="31"/>
    </row>
    <row r="1157" spans="7:10" x14ac:dyDescent="0.3">
      <c r="G1157" s="28"/>
      <c r="H1157" s="28"/>
      <c r="I1157" s="28"/>
      <c r="J1157" s="31"/>
    </row>
    <row r="1158" spans="7:10" x14ac:dyDescent="0.3">
      <c r="G1158" s="28"/>
      <c r="H1158" s="28"/>
      <c r="I1158" s="28"/>
      <c r="J1158" s="31"/>
    </row>
    <row r="1159" spans="7:10" x14ac:dyDescent="0.3">
      <c r="G1159" s="28"/>
      <c r="H1159" s="28"/>
      <c r="I1159" s="28"/>
      <c r="J1159" s="31"/>
    </row>
    <row r="1160" spans="7:10" x14ac:dyDescent="0.3">
      <c r="G1160" s="28"/>
      <c r="H1160" s="28"/>
      <c r="I1160" s="28"/>
      <c r="J1160" s="31"/>
    </row>
    <row r="1161" spans="7:10" x14ac:dyDescent="0.3">
      <c r="G1161" s="28"/>
      <c r="H1161" s="28"/>
      <c r="I1161" s="28"/>
      <c r="J1161" s="31"/>
    </row>
    <row r="1162" spans="7:10" x14ac:dyDescent="0.3">
      <c r="G1162" s="28"/>
      <c r="H1162" s="28"/>
      <c r="I1162" s="28"/>
      <c r="J1162" s="31"/>
    </row>
    <row r="1163" spans="7:10" x14ac:dyDescent="0.3">
      <c r="G1163" s="28"/>
      <c r="H1163" s="28"/>
      <c r="I1163" s="28"/>
      <c r="J1163" s="31"/>
    </row>
    <row r="1164" spans="7:10" x14ac:dyDescent="0.3">
      <c r="G1164" s="28"/>
      <c r="H1164" s="28"/>
      <c r="I1164" s="28"/>
      <c r="J1164" s="31"/>
    </row>
    <row r="1165" spans="7:10" x14ac:dyDescent="0.3">
      <c r="G1165" s="28"/>
      <c r="H1165" s="28"/>
      <c r="I1165" s="28"/>
      <c r="J1165" s="31"/>
    </row>
    <row r="1166" spans="7:10" x14ac:dyDescent="0.3">
      <c r="G1166" s="28"/>
      <c r="H1166" s="28"/>
      <c r="I1166" s="28"/>
      <c r="J1166" s="31"/>
    </row>
    <row r="1167" spans="7:10" x14ac:dyDescent="0.3">
      <c r="G1167" s="28"/>
      <c r="H1167" s="28"/>
      <c r="I1167" s="28"/>
      <c r="J1167" s="31"/>
    </row>
    <row r="1168" spans="7:10" x14ac:dyDescent="0.3">
      <c r="G1168" s="28"/>
      <c r="H1168" s="28"/>
      <c r="I1168" s="28"/>
      <c r="J1168" s="31"/>
    </row>
    <row r="1169" spans="7:10" x14ac:dyDescent="0.3">
      <c r="G1169" s="28"/>
      <c r="H1169" s="28"/>
      <c r="I1169" s="28"/>
      <c r="J1169" s="31"/>
    </row>
    <row r="1170" spans="7:10" x14ac:dyDescent="0.3">
      <c r="G1170" s="28"/>
      <c r="H1170" s="28"/>
      <c r="I1170" s="28"/>
      <c r="J1170" s="31"/>
    </row>
    <row r="1171" spans="7:10" x14ac:dyDescent="0.3">
      <c r="G1171" s="28"/>
      <c r="H1171" s="28"/>
      <c r="I1171" s="28"/>
      <c r="J1171" s="31"/>
    </row>
    <row r="1172" spans="7:10" x14ac:dyDescent="0.3">
      <c r="G1172" s="28"/>
      <c r="H1172" s="28"/>
      <c r="I1172" s="28"/>
      <c r="J1172" s="31"/>
    </row>
    <row r="1173" spans="7:10" x14ac:dyDescent="0.3">
      <c r="G1173" s="28"/>
      <c r="H1173" s="28"/>
      <c r="I1173" s="28"/>
      <c r="J1173" s="31"/>
    </row>
    <row r="1174" spans="7:10" x14ac:dyDescent="0.3">
      <c r="G1174" s="28"/>
      <c r="H1174" s="28"/>
      <c r="I1174" s="28"/>
      <c r="J1174" s="31"/>
    </row>
    <row r="1175" spans="7:10" x14ac:dyDescent="0.3">
      <c r="G1175" s="28"/>
      <c r="H1175" s="28"/>
      <c r="I1175" s="28"/>
      <c r="J1175" s="31"/>
    </row>
    <row r="1176" spans="7:10" x14ac:dyDescent="0.3">
      <c r="G1176" s="28"/>
      <c r="H1176" s="28"/>
      <c r="I1176" s="28"/>
      <c r="J1176" s="31"/>
    </row>
    <row r="1177" spans="7:10" x14ac:dyDescent="0.3">
      <c r="G1177" s="28"/>
      <c r="H1177" s="28"/>
      <c r="I1177" s="28"/>
      <c r="J1177" s="31"/>
    </row>
    <row r="1178" spans="7:10" x14ac:dyDescent="0.3">
      <c r="G1178" s="28"/>
      <c r="H1178" s="28"/>
      <c r="I1178" s="28"/>
      <c r="J1178" s="31"/>
    </row>
    <row r="1179" spans="7:10" x14ac:dyDescent="0.3">
      <c r="G1179" s="28"/>
      <c r="H1179" s="28"/>
      <c r="I1179" s="28"/>
      <c r="J1179" s="31"/>
    </row>
    <row r="1180" spans="7:10" x14ac:dyDescent="0.3">
      <c r="G1180" s="28"/>
      <c r="H1180" s="28"/>
      <c r="I1180" s="28"/>
      <c r="J1180" s="31"/>
    </row>
    <row r="1181" spans="7:10" x14ac:dyDescent="0.3">
      <c r="G1181" s="28"/>
      <c r="H1181" s="28"/>
      <c r="I1181" s="28"/>
      <c r="J1181" s="31"/>
    </row>
    <row r="1182" spans="7:10" x14ac:dyDescent="0.3">
      <c r="G1182" s="28"/>
      <c r="H1182" s="28"/>
      <c r="I1182" s="28"/>
      <c r="J1182" s="31"/>
    </row>
    <row r="1183" spans="7:10" x14ac:dyDescent="0.3">
      <c r="G1183" s="28"/>
      <c r="H1183" s="28"/>
      <c r="I1183" s="28"/>
      <c r="J1183" s="31"/>
    </row>
    <row r="1184" spans="7:10" x14ac:dyDescent="0.3">
      <c r="G1184" s="28"/>
      <c r="H1184" s="28"/>
      <c r="I1184" s="28"/>
      <c r="J1184" s="31"/>
    </row>
    <row r="1185" spans="7:10" x14ac:dyDescent="0.3">
      <c r="G1185" s="28"/>
      <c r="H1185" s="28"/>
      <c r="I1185" s="28"/>
      <c r="J1185" s="31"/>
    </row>
    <row r="1186" spans="7:10" x14ac:dyDescent="0.3">
      <c r="G1186" s="28"/>
      <c r="H1186" s="28"/>
      <c r="I1186" s="28"/>
      <c r="J1186" s="31"/>
    </row>
    <row r="1187" spans="7:10" x14ac:dyDescent="0.3">
      <c r="G1187" s="28"/>
      <c r="H1187" s="28"/>
      <c r="I1187" s="28"/>
      <c r="J1187" s="31"/>
    </row>
    <row r="1188" spans="7:10" x14ac:dyDescent="0.3">
      <c r="G1188" s="28"/>
      <c r="H1188" s="28"/>
      <c r="I1188" s="28"/>
      <c r="J1188" s="31"/>
    </row>
    <row r="1189" spans="7:10" x14ac:dyDescent="0.3">
      <c r="G1189" s="28"/>
      <c r="H1189" s="28"/>
      <c r="I1189" s="28"/>
      <c r="J1189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1190"/>
  <sheetViews>
    <sheetView workbookViewId="0">
      <selection activeCell="A15" sqref="A15"/>
    </sheetView>
  </sheetViews>
  <sheetFormatPr defaultColWidth="9.109375" defaultRowHeight="16.8" x14ac:dyDescent="0.3"/>
  <cols>
    <col min="1" max="1" width="52.109375" style="24" customWidth="1"/>
    <col min="2" max="8" width="7.6640625" style="24" customWidth="1"/>
    <col min="9" max="10" width="14.44140625" style="24" customWidth="1"/>
    <col min="11" max="16384" width="9.109375" style="24"/>
  </cols>
  <sheetData>
    <row r="1" spans="1:10" x14ac:dyDescent="0.3">
      <c r="A1" s="24" t="s">
        <v>41</v>
      </c>
    </row>
    <row r="3" spans="1:10" x14ac:dyDescent="0.3">
      <c r="A3" s="26" t="s">
        <v>21</v>
      </c>
      <c r="B3" s="26">
        <v>8</v>
      </c>
      <c r="C3" s="26">
        <v>8</v>
      </c>
      <c r="D3" s="26">
        <v>8</v>
      </c>
      <c r="E3" s="34">
        <v>8</v>
      </c>
      <c r="F3" s="26">
        <v>8</v>
      </c>
      <c r="G3" s="26">
        <v>8</v>
      </c>
      <c r="H3" s="26">
        <v>8</v>
      </c>
      <c r="I3" s="28"/>
    </row>
    <row r="4" spans="1:10" x14ac:dyDescent="0.3">
      <c r="A4" s="26" t="s">
        <v>22</v>
      </c>
      <c r="B4" s="26">
        <v>12</v>
      </c>
      <c r="C4" s="26">
        <v>12</v>
      </c>
      <c r="D4" s="26">
        <v>12</v>
      </c>
      <c r="E4" s="34">
        <v>12</v>
      </c>
      <c r="F4" s="26">
        <v>12</v>
      </c>
      <c r="G4" s="26">
        <v>12</v>
      </c>
      <c r="H4" s="26">
        <v>12</v>
      </c>
      <c r="I4" s="28"/>
    </row>
    <row r="5" spans="1:10" x14ac:dyDescent="0.3">
      <c r="A5" s="26" t="s">
        <v>36</v>
      </c>
      <c r="B5" s="26">
        <v>0</v>
      </c>
      <c r="C5" s="26">
        <f t="shared" ref="C5:H5" si="0">B5+1/60</f>
        <v>1.6666666666666666E-2</v>
      </c>
      <c r="D5" s="26">
        <f t="shared" si="0"/>
        <v>3.3333333333333333E-2</v>
      </c>
      <c r="E5" s="26">
        <f t="shared" si="0"/>
        <v>0.05</v>
      </c>
      <c r="F5" s="26">
        <f t="shared" si="0"/>
        <v>6.6666666666666666E-2</v>
      </c>
      <c r="G5" s="26">
        <f t="shared" si="0"/>
        <v>8.3333333333333329E-2</v>
      </c>
      <c r="H5" s="26">
        <f t="shared" si="0"/>
        <v>9.9999999999999992E-2</v>
      </c>
      <c r="I5" s="28"/>
    </row>
    <row r="6" spans="1:10" x14ac:dyDescent="0.3">
      <c r="A6" s="26" t="s">
        <v>30</v>
      </c>
      <c r="B6" s="26">
        <v>6</v>
      </c>
      <c r="C6" s="26">
        <v>6</v>
      </c>
      <c r="D6" s="26">
        <v>6</v>
      </c>
      <c r="E6" s="34">
        <v>6</v>
      </c>
      <c r="F6" s="26">
        <v>6</v>
      </c>
      <c r="G6" s="26">
        <v>6</v>
      </c>
      <c r="H6" s="26">
        <v>6</v>
      </c>
      <c r="I6" s="28"/>
    </row>
    <row r="7" spans="1:10" x14ac:dyDescent="0.3">
      <c r="A7" s="26" t="s">
        <v>28</v>
      </c>
      <c r="B7" s="26"/>
      <c r="C7" s="26"/>
      <c r="D7" s="26"/>
      <c r="E7" s="34"/>
      <c r="F7" s="26"/>
      <c r="G7" s="26"/>
      <c r="H7" s="26"/>
      <c r="I7" s="28"/>
    </row>
    <row r="8" spans="1:10" x14ac:dyDescent="0.3">
      <c r="A8" s="26" t="s">
        <v>23</v>
      </c>
      <c r="B8" s="29">
        <f>1-(B3/B4)</f>
        <v>0.33333333333333337</v>
      </c>
      <c r="C8" s="29">
        <f t="shared" ref="C8:H8" si="1">1-(C3/C4)</f>
        <v>0.33333333333333337</v>
      </c>
      <c r="D8" s="29">
        <f t="shared" si="1"/>
        <v>0.33333333333333337</v>
      </c>
      <c r="E8" s="35">
        <f t="shared" si="1"/>
        <v>0.33333333333333337</v>
      </c>
      <c r="F8" s="29">
        <f t="shared" si="1"/>
        <v>0.33333333333333337</v>
      </c>
      <c r="G8" s="29">
        <f t="shared" si="1"/>
        <v>0.33333333333333337</v>
      </c>
      <c r="H8" s="29">
        <f t="shared" si="1"/>
        <v>0.33333333333333337</v>
      </c>
      <c r="I8" s="28"/>
      <c r="J8" s="31"/>
    </row>
    <row r="9" spans="1:10" x14ac:dyDescent="0.3">
      <c r="A9" s="26" t="s">
        <v>24</v>
      </c>
      <c r="B9" s="29">
        <f>((B3*B5)^2+(B3/B4)^2)/(2*(1-B3/B4))</f>
        <v>0.66666666666666652</v>
      </c>
      <c r="C9" s="29">
        <f t="shared" ref="C9:H9" si="2">((C3*C5)^2+(C3/C4)^2)/(2*(1-C3/C4))</f>
        <v>0.69333333333333325</v>
      </c>
      <c r="D9" s="29">
        <f t="shared" si="2"/>
        <v>0.77333333333333321</v>
      </c>
      <c r="E9" s="35">
        <f t="shared" si="2"/>
        <v>0.90666666666666662</v>
      </c>
      <c r="F9" s="29">
        <f t="shared" si="2"/>
        <v>1.0933333333333333</v>
      </c>
      <c r="G9" s="29">
        <f t="shared" si="2"/>
        <v>1.333333333333333</v>
      </c>
      <c r="H9" s="29">
        <f t="shared" si="2"/>
        <v>1.6266666666666663</v>
      </c>
      <c r="I9" s="28"/>
      <c r="J9" s="31"/>
    </row>
    <row r="10" spans="1:10" x14ac:dyDescent="0.3">
      <c r="A10" s="26" t="s">
        <v>25</v>
      </c>
      <c r="B10" s="29">
        <f>B9+B3/B4</f>
        <v>1.333333333333333</v>
      </c>
      <c r="C10" s="29">
        <f t="shared" ref="C10:H10" si="3">C9+C3/C4</f>
        <v>1.3599999999999999</v>
      </c>
      <c r="D10" s="29">
        <f t="shared" si="3"/>
        <v>1.44</v>
      </c>
      <c r="E10" s="35">
        <f t="shared" si="3"/>
        <v>1.5733333333333333</v>
      </c>
      <c r="F10" s="29">
        <f t="shared" si="3"/>
        <v>1.7599999999999998</v>
      </c>
      <c r="G10" s="29">
        <f t="shared" si="3"/>
        <v>1.9999999999999996</v>
      </c>
      <c r="H10" s="29">
        <f t="shared" si="3"/>
        <v>2.293333333333333</v>
      </c>
      <c r="I10" s="28"/>
      <c r="J10" s="31"/>
    </row>
    <row r="11" spans="1:10" x14ac:dyDescent="0.3">
      <c r="A11" s="26" t="s">
        <v>40</v>
      </c>
      <c r="B11" s="29">
        <f>B9/B3</f>
        <v>8.3333333333333315E-2</v>
      </c>
      <c r="C11" s="29">
        <f t="shared" ref="C11:H11" si="4">C9/C3</f>
        <v>8.6666666666666656E-2</v>
      </c>
      <c r="D11" s="29">
        <f t="shared" si="4"/>
        <v>9.6666666666666651E-2</v>
      </c>
      <c r="E11" s="35">
        <f t="shared" si="4"/>
        <v>0.11333333333333333</v>
      </c>
      <c r="F11" s="29">
        <f t="shared" si="4"/>
        <v>0.13666666666666666</v>
      </c>
      <c r="G11" s="29">
        <f t="shared" si="4"/>
        <v>0.16666666666666663</v>
      </c>
      <c r="H11" s="29">
        <f t="shared" si="4"/>
        <v>0.20333333333333328</v>
      </c>
      <c r="I11" s="28"/>
      <c r="J11" s="31"/>
    </row>
    <row r="12" spans="1:10" x14ac:dyDescent="0.3">
      <c r="A12" s="26" t="s">
        <v>27</v>
      </c>
      <c r="B12" s="29">
        <f>B11+1/B4</f>
        <v>0.16666666666666663</v>
      </c>
      <c r="C12" s="29">
        <f t="shared" ref="C12:H12" si="5">C11+1/C4</f>
        <v>0.16999999999999998</v>
      </c>
      <c r="D12" s="29">
        <f t="shared" si="5"/>
        <v>0.18</v>
      </c>
      <c r="E12" s="35">
        <f t="shared" si="5"/>
        <v>0.19666666666666666</v>
      </c>
      <c r="F12" s="29">
        <f t="shared" si="5"/>
        <v>0.21999999999999997</v>
      </c>
      <c r="G12" s="29">
        <f t="shared" si="5"/>
        <v>0.24999999999999994</v>
      </c>
      <c r="H12" s="29">
        <f t="shared" si="5"/>
        <v>0.28666666666666663</v>
      </c>
      <c r="I12" s="28"/>
      <c r="J12" s="31"/>
    </row>
    <row r="13" spans="1:10" x14ac:dyDescent="0.3">
      <c r="A13" s="26" t="s">
        <v>39</v>
      </c>
      <c r="B13" s="29">
        <f>B3/B4</f>
        <v>0.66666666666666663</v>
      </c>
      <c r="C13" s="29">
        <f t="shared" ref="C13:H13" si="6">C3/C4</f>
        <v>0.66666666666666663</v>
      </c>
      <c r="D13" s="29">
        <f t="shared" si="6"/>
        <v>0.66666666666666663</v>
      </c>
      <c r="E13" s="35">
        <f t="shared" si="6"/>
        <v>0.66666666666666663</v>
      </c>
      <c r="F13" s="29">
        <f t="shared" si="6"/>
        <v>0.66666666666666663</v>
      </c>
      <c r="G13" s="29">
        <f t="shared" si="6"/>
        <v>0.66666666666666663</v>
      </c>
      <c r="H13" s="29">
        <f t="shared" si="6"/>
        <v>0.66666666666666663</v>
      </c>
      <c r="I13" s="28"/>
      <c r="J13" s="31"/>
    </row>
    <row r="14" spans="1:10" x14ac:dyDescent="0.3">
      <c r="A14" s="26" t="s">
        <v>29</v>
      </c>
      <c r="B14" s="29">
        <f>(B3/B4)^B6*B8</f>
        <v>2.9263831732967538E-2</v>
      </c>
      <c r="C14" s="29">
        <f t="shared" ref="C14:H14" si="7">(C3/C4)^C6*C8</f>
        <v>2.9263831732967538E-2</v>
      </c>
      <c r="D14" s="29">
        <f t="shared" si="7"/>
        <v>2.9263831732967538E-2</v>
      </c>
      <c r="E14" s="35">
        <f t="shared" si="7"/>
        <v>2.9263831732967538E-2</v>
      </c>
      <c r="F14" s="29">
        <f t="shared" si="7"/>
        <v>2.9263831732967538E-2</v>
      </c>
      <c r="G14" s="29">
        <f t="shared" si="7"/>
        <v>2.9263831732967538E-2</v>
      </c>
      <c r="H14" s="29">
        <f t="shared" si="7"/>
        <v>2.9263831732967538E-2</v>
      </c>
      <c r="I14" s="28"/>
      <c r="J14" s="31"/>
    </row>
    <row r="15" spans="1:10" x14ac:dyDescent="0.3">
      <c r="A15" s="32" t="s">
        <v>35</v>
      </c>
      <c r="B15" s="29">
        <f>B3/B4</f>
        <v>0.66666666666666663</v>
      </c>
      <c r="C15" s="29">
        <f t="shared" ref="C15:H15" si="8">C3/C4</f>
        <v>0.66666666666666663</v>
      </c>
      <c r="D15" s="29">
        <f t="shared" si="8"/>
        <v>0.66666666666666663</v>
      </c>
      <c r="E15" s="35">
        <f t="shared" si="8"/>
        <v>0.66666666666666663</v>
      </c>
      <c r="F15" s="29">
        <f t="shared" si="8"/>
        <v>0.66666666666666663</v>
      </c>
      <c r="G15" s="29">
        <f t="shared" si="8"/>
        <v>0.66666666666666663</v>
      </c>
      <c r="H15" s="29">
        <f t="shared" si="8"/>
        <v>0.66666666666666663</v>
      </c>
      <c r="I15" s="28"/>
      <c r="J15" s="31"/>
    </row>
    <row r="16" spans="1:10" x14ac:dyDescent="0.3">
      <c r="D16" s="31"/>
      <c r="G16" s="28"/>
      <c r="H16" s="28"/>
      <c r="I16" s="28"/>
      <c r="J16" s="31"/>
    </row>
    <row r="17" spans="4:10" x14ac:dyDescent="0.3">
      <c r="D17" s="31"/>
      <c r="G17" s="28"/>
      <c r="H17" s="28"/>
      <c r="I17" s="28"/>
      <c r="J17" s="31"/>
    </row>
    <row r="18" spans="4:10" x14ac:dyDescent="0.3">
      <c r="D18" s="31"/>
      <c r="G18" s="28"/>
      <c r="H18" s="28"/>
      <c r="I18" s="28"/>
      <c r="J18" s="31"/>
    </row>
    <row r="19" spans="4:10" x14ac:dyDescent="0.3">
      <c r="D19" s="33"/>
      <c r="G19" s="28"/>
      <c r="H19" s="28"/>
      <c r="I19" s="28"/>
      <c r="J19" s="31"/>
    </row>
    <row r="20" spans="4:10" x14ac:dyDescent="0.3">
      <c r="D20" s="31"/>
      <c r="G20" s="28"/>
      <c r="H20" s="28"/>
      <c r="I20" s="28"/>
      <c r="J20" s="31"/>
    </row>
    <row r="21" spans="4:10" x14ac:dyDescent="0.3">
      <c r="D21" s="31"/>
      <c r="G21" s="28"/>
      <c r="H21" s="28"/>
      <c r="I21" s="28"/>
      <c r="J21" s="31"/>
    </row>
    <row r="22" spans="4:10" x14ac:dyDescent="0.3">
      <c r="D22" s="33"/>
      <c r="G22" s="28"/>
      <c r="H22" s="28"/>
      <c r="I22" s="28"/>
      <c r="J22" s="31"/>
    </row>
    <row r="23" spans="4:10" x14ac:dyDescent="0.3">
      <c r="G23" s="28"/>
      <c r="H23" s="28"/>
      <c r="I23" s="28"/>
      <c r="J23" s="31"/>
    </row>
    <row r="24" spans="4:10" x14ac:dyDescent="0.3">
      <c r="G24" s="28"/>
      <c r="H24" s="28"/>
      <c r="I24" s="28"/>
      <c r="J24" s="31"/>
    </row>
    <row r="25" spans="4:10" x14ac:dyDescent="0.3">
      <c r="G25" s="28"/>
      <c r="H25" s="28"/>
      <c r="I25" s="28"/>
      <c r="J25" s="31"/>
    </row>
    <row r="26" spans="4:10" x14ac:dyDescent="0.3">
      <c r="G26" s="28"/>
      <c r="H26" s="28"/>
      <c r="I26" s="28"/>
      <c r="J26" s="31"/>
    </row>
    <row r="27" spans="4:10" x14ac:dyDescent="0.3">
      <c r="G27" s="28"/>
      <c r="H27" s="28"/>
      <c r="I27" s="28"/>
      <c r="J27" s="31"/>
    </row>
    <row r="28" spans="4:10" x14ac:dyDescent="0.3">
      <c r="G28" s="28"/>
      <c r="H28" s="28"/>
      <c r="I28" s="28"/>
      <c r="J28" s="31"/>
    </row>
    <row r="29" spans="4:10" x14ac:dyDescent="0.3">
      <c r="G29" s="28"/>
      <c r="H29" s="28"/>
      <c r="I29" s="28"/>
      <c r="J29" s="31"/>
    </row>
    <row r="30" spans="4:10" x14ac:dyDescent="0.3">
      <c r="G30" s="28"/>
      <c r="H30" s="28"/>
      <c r="I30" s="28"/>
      <c r="J30" s="31"/>
    </row>
    <row r="31" spans="4:10" x14ac:dyDescent="0.3">
      <c r="G31" s="28"/>
      <c r="H31" s="28"/>
      <c r="I31" s="28"/>
      <c r="J31" s="31"/>
    </row>
    <row r="32" spans="4:10" x14ac:dyDescent="0.3">
      <c r="G32" s="28"/>
      <c r="H32" s="28"/>
      <c r="I32" s="28"/>
      <c r="J32" s="31"/>
    </row>
    <row r="33" spans="7:10" x14ac:dyDescent="0.3">
      <c r="G33" s="28"/>
      <c r="H33" s="28"/>
      <c r="I33" s="28"/>
      <c r="J33" s="31"/>
    </row>
    <row r="34" spans="7:10" x14ac:dyDescent="0.3">
      <c r="G34" s="28"/>
      <c r="H34" s="28"/>
      <c r="I34" s="28"/>
      <c r="J34" s="31"/>
    </row>
    <row r="35" spans="7:10" x14ac:dyDescent="0.3">
      <c r="G35" s="28"/>
      <c r="H35" s="28"/>
      <c r="I35" s="28"/>
      <c r="J35" s="31"/>
    </row>
    <row r="36" spans="7:10" x14ac:dyDescent="0.3">
      <c r="G36" s="28"/>
      <c r="H36" s="28"/>
      <c r="I36" s="28"/>
      <c r="J36" s="31"/>
    </row>
    <row r="37" spans="7:10" x14ac:dyDescent="0.3">
      <c r="G37" s="28"/>
      <c r="H37" s="28"/>
      <c r="I37" s="28"/>
      <c r="J37" s="31"/>
    </row>
    <row r="38" spans="7:10" x14ac:dyDescent="0.3">
      <c r="G38" s="28"/>
      <c r="H38" s="28"/>
      <c r="I38" s="28"/>
      <c r="J38" s="31"/>
    </row>
    <row r="39" spans="7:10" x14ac:dyDescent="0.3">
      <c r="G39" s="28"/>
      <c r="H39" s="28"/>
      <c r="I39" s="28"/>
      <c r="J39" s="31"/>
    </row>
    <row r="40" spans="7:10" x14ac:dyDescent="0.3">
      <c r="G40" s="28"/>
      <c r="H40" s="28"/>
      <c r="I40" s="28"/>
      <c r="J40" s="31"/>
    </row>
    <row r="41" spans="7:10" x14ac:dyDescent="0.3">
      <c r="G41" s="28"/>
      <c r="H41" s="28"/>
      <c r="I41" s="28"/>
      <c r="J41" s="31"/>
    </row>
    <row r="42" spans="7:10" x14ac:dyDescent="0.3">
      <c r="G42" s="28"/>
      <c r="H42" s="28"/>
      <c r="I42" s="28"/>
      <c r="J42" s="31"/>
    </row>
    <row r="43" spans="7:10" x14ac:dyDescent="0.3">
      <c r="G43" s="28"/>
      <c r="H43" s="28"/>
      <c r="I43" s="28"/>
      <c r="J43" s="31"/>
    </row>
    <row r="44" spans="7:10" x14ac:dyDescent="0.3">
      <c r="G44" s="28"/>
      <c r="H44" s="28"/>
      <c r="I44" s="28"/>
      <c r="J44" s="31"/>
    </row>
    <row r="45" spans="7:10" x14ac:dyDescent="0.3">
      <c r="G45" s="28"/>
      <c r="H45" s="28"/>
      <c r="I45" s="28"/>
      <c r="J45" s="31"/>
    </row>
    <row r="46" spans="7:10" x14ac:dyDescent="0.3">
      <c r="G46" s="28"/>
      <c r="H46" s="28"/>
      <c r="I46" s="28"/>
      <c r="J46" s="31"/>
    </row>
    <row r="47" spans="7:10" x14ac:dyDescent="0.3">
      <c r="G47" s="28"/>
      <c r="H47" s="28"/>
      <c r="I47" s="28"/>
      <c r="J47" s="31"/>
    </row>
    <row r="48" spans="7:10" x14ac:dyDescent="0.3">
      <c r="G48" s="28"/>
      <c r="H48" s="28"/>
      <c r="I48" s="28"/>
      <c r="J48" s="31"/>
    </row>
    <row r="49" spans="7:10" x14ac:dyDescent="0.3">
      <c r="G49" s="28"/>
      <c r="H49" s="28"/>
      <c r="I49" s="28"/>
      <c r="J49" s="31"/>
    </row>
    <row r="50" spans="7:10" x14ac:dyDescent="0.3">
      <c r="G50" s="28"/>
      <c r="H50" s="28"/>
      <c r="I50" s="28"/>
      <c r="J50" s="31"/>
    </row>
    <row r="51" spans="7:10" x14ac:dyDescent="0.3">
      <c r="G51" s="28"/>
      <c r="H51" s="28"/>
      <c r="I51" s="28"/>
      <c r="J51" s="31"/>
    </row>
    <row r="52" spans="7:10" x14ac:dyDescent="0.3">
      <c r="G52" s="28"/>
      <c r="H52" s="28"/>
      <c r="I52" s="28"/>
      <c r="J52" s="31"/>
    </row>
    <row r="53" spans="7:10" x14ac:dyDescent="0.3">
      <c r="G53" s="28"/>
      <c r="H53" s="28"/>
      <c r="I53" s="28"/>
      <c r="J53" s="31"/>
    </row>
    <row r="54" spans="7:10" x14ac:dyDescent="0.3">
      <c r="G54" s="28"/>
      <c r="H54" s="28"/>
      <c r="I54" s="28"/>
      <c r="J54" s="31"/>
    </row>
    <row r="55" spans="7:10" x14ac:dyDescent="0.3">
      <c r="G55" s="28"/>
      <c r="H55" s="28"/>
      <c r="I55" s="28"/>
      <c r="J55" s="31"/>
    </row>
    <row r="56" spans="7:10" x14ac:dyDescent="0.3">
      <c r="G56" s="28"/>
      <c r="H56" s="28"/>
      <c r="I56" s="28"/>
      <c r="J56" s="31"/>
    </row>
    <row r="57" spans="7:10" x14ac:dyDescent="0.3">
      <c r="G57" s="28"/>
      <c r="H57" s="28"/>
      <c r="I57" s="28"/>
      <c r="J57" s="31"/>
    </row>
    <row r="58" spans="7:10" x14ac:dyDescent="0.3">
      <c r="G58" s="28"/>
      <c r="H58" s="28"/>
      <c r="I58" s="28"/>
      <c r="J58" s="31"/>
    </row>
    <row r="59" spans="7:10" x14ac:dyDescent="0.3">
      <c r="G59" s="28"/>
      <c r="H59" s="28"/>
      <c r="I59" s="28"/>
      <c r="J59" s="31"/>
    </row>
    <row r="60" spans="7:10" x14ac:dyDescent="0.3">
      <c r="G60" s="28"/>
      <c r="H60" s="28"/>
      <c r="I60" s="28"/>
      <c r="J60" s="31"/>
    </row>
    <row r="61" spans="7:10" x14ac:dyDescent="0.3">
      <c r="G61" s="28"/>
      <c r="H61" s="28"/>
      <c r="I61" s="28"/>
      <c r="J61" s="31"/>
    </row>
    <row r="62" spans="7:10" x14ac:dyDescent="0.3">
      <c r="G62" s="28"/>
      <c r="H62" s="28"/>
      <c r="I62" s="28"/>
      <c r="J62" s="31"/>
    </row>
    <row r="63" spans="7:10" x14ac:dyDescent="0.3">
      <c r="G63" s="28"/>
      <c r="H63" s="28"/>
      <c r="I63" s="28"/>
      <c r="J63" s="31"/>
    </row>
    <row r="64" spans="7:10" x14ac:dyDescent="0.3">
      <c r="G64" s="28"/>
      <c r="H64" s="28"/>
      <c r="I64" s="28"/>
      <c r="J64" s="31"/>
    </row>
    <row r="65" spans="7:10" x14ac:dyDescent="0.3">
      <c r="G65" s="28"/>
      <c r="H65" s="28"/>
      <c r="I65" s="28"/>
      <c r="J65" s="31"/>
    </row>
    <row r="66" spans="7:10" x14ac:dyDescent="0.3">
      <c r="G66" s="28"/>
      <c r="H66" s="28"/>
      <c r="I66" s="28"/>
      <c r="J66" s="31"/>
    </row>
    <row r="67" spans="7:10" x14ac:dyDescent="0.3">
      <c r="G67" s="28"/>
      <c r="H67" s="28"/>
      <c r="I67" s="28"/>
      <c r="J67" s="31"/>
    </row>
    <row r="68" spans="7:10" x14ac:dyDescent="0.3">
      <c r="G68" s="28"/>
      <c r="H68" s="28"/>
      <c r="I68" s="28"/>
      <c r="J68" s="31"/>
    </row>
    <row r="69" spans="7:10" x14ac:dyDescent="0.3">
      <c r="G69" s="28"/>
      <c r="H69" s="28"/>
      <c r="I69" s="28"/>
      <c r="J69" s="31"/>
    </row>
    <row r="70" spans="7:10" x14ac:dyDescent="0.3">
      <c r="G70" s="28"/>
      <c r="H70" s="28"/>
      <c r="I70" s="28"/>
      <c r="J70" s="31"/>
    </row>
    <row r="71" spans="7:10" x14ac:dyDescent="0.3">
      <c r="G71" s="28"/>
      <c r="H71" s="28"/>
      <c r="I71" s="28"/>
      <c r="J71" s="31"/>
    </row>
    <row r="72" spans="7:10" x14ac:dyDescent="0.3">
      <c r="G72" s="28"/>
      <c r="H72" s="28"/>
      <c r="I72" s="28"/>
      <c r="J72" s="31"/>
    </row>
    <row r="73" spans="7:10" x14ac:dyDescent="0.3">
      <c r="G73" s="28"/>
      <c r="H73" s="28"/>
      <c r="I73" s="28"/>
      <c r="J73" s="31"/>
    </row>
    <row r="74" spans="7:10" x14ac:dyDescent="0.3">
      <c r="G74" s="28"/>
      <c r="H74" s="28"/>
      <c r="I74" s="28"/>
      <c r="J74" s="31"/>
    </row>
    <row r="75" spans="7:10" x14ac:dyDescent="0.3">
      <c r="G75" s="28"/>
      <c r="H75" s="28"/>
      <c r="I75" s="28"/>
      <c r="J75" s="31"/>
    </row>
    <row r="76" spans="7:10" x14ac:dyDescent="0.3">
      <c r="G76" s="28"/>
      <c r="H76" s="28"/>
      <c r="I76" s="28"/>
      <c r="J76" s="31"/>
    </row>
    <row r="77" spans="7:10" x14ac:dyDescent="0.3">
      <c r="G77" s="28"/>
      <c r="H77" s="28"/>
      <c r="I77" s="28"/>
      <c r="J77" s="31"/>
    </row>
    <row r="78" spans="7:10" x14ac:dyDescent="0.3">
      <c r="G78" s="28"/>
      <c r="H78" s="28"/>
      <c r="I78" s="28"/>
      <c r="J78" s="31"/>
    </row>
    <row r="79" spans="7:10" x14ac:dyDescent="0.3">
      <c r="G79" s="28"/>
      <c r="H79" s="28"/>
      <c r="I79" s="28"/>
      <c r="J79" s="31"/>
    </row>
    <row r="80" spans="7:10" x14ac:dyDescent="0.3">
      <c r="G80" s="28"/>
      <c r="H80" s="28"/>
      <c r="I80" s="28"/>
      <c r="J80" s="31"/>
    </row>
    <row r="81" spans="7:10" x14ac:dyDescent="0.3">
      <c r="G81" s="28"/>
      <c r="H81" s="28"/>
      <c r="I81" s="28"/>
      <c r="J81" s="31"/>
    </row>
    <row r="82" spans="7:10" x14ac:dyDescent="0.3">
      <c r="G82" s="28"/>
      <c r="H82" s="28"/>
      <c r="I82" s="28"/>
      <c r="J82" s="31"/>
    </row>
    <row r="83" spans="7:10" x14ac:dyDescent="0.3">
      <c r="G83" s="28"/>
      <c r="H83" s="28"/>
      <c r="I83" s="28"/>
      <c r="J83" s="31"/>
    </row>
    <row r="84" spans="7:10" x14ac:dyDescent="0.3">
      <c r="G84" s="28"/>
      <c r="H84" s="28"/>
      <c r="I84" s="28"/>
      <c r="J84" s="31"/>
    </row>
    <row r="85" spans="7:10" x14ac:dyDescent="0.3">
      <c r="G85" s="28"/>
      <c r="H85" s="28"/>
      <c r="I85" s="28"/>
      <c r="J85" s="31"/>
    </row>
    <row r="86" spans="7:10" x14ac:dyDescent="0.3">
      <c r="G86" s="28"/>
      <c r="H86" s="28"/>
      <c r="I86" s="28"/>
      <c r="J86" s="31"/>
    </row>
    <row r="87" spans="7:10" x14ac:dyDescent="0.3">
      <c r="G87" s="28"/>
      <c r="H87" s="28"/>
      <c r="I87" s="28"/>
      <c r="J87" s="31"/>
    </row>
    <row r="88" spans="7:10" x14ac:dyDescent="0.3">
      <c r="G88" s="28"/>
      <c r="H88" s="28"/>
      <c r="I88" s="28"/>
      <c r="J88" s="31"/>
    </row>
    <row r="89" spans="7:10" x14ac:dyDescent="0.3">
      <c r="G89" s="28"/>
      <c r="H89" s="28"/>
      <c r="I89" s="28"/>
      <c r="J89" s="31"/>
    </row>
    <row r="90" spans="7:10" x14ac:dyDescent="0.3">
      <c r="G90" s="28"/>
      <c r="H90" s="28"/>
      <c r="I90" s="28"/>
      <c r="J90" s="31"/>
    </row>
    <row r="91" spans="7:10" x14ac:dyDescent="0.3">
      <c r="G91" s="28"/>
      <c r="H91" s="28"/>
      <c r="I91" s="28"/>
      <c r="J91" s="31"/>
    </row>
    <row r="92" spans="7:10" x14ac:dyDescent="0.3">
      <c r="G92" s="28"/>
      <c r="H92" s="28"/>
      <c r="I92" s="28"/>
      <c r="J92" s="31"/>
    </row>
    <row r="93" spans="7:10" x14ac:dyDescent="0.3">
      <c r="G93" s="28"/>
      <c r="H93" s="28"/>
      <c r="I93" s="28"/>
      <c r="J93" s="31"/>
    </row>
    <row r="94" spans="7:10" x14ac:dyDescent="0.3">
      <c r="G94" s="28"/>
      <c r="H94" s="28"/>
      <c r="I94" s="28"/>
      <c r="J94" s="31"/>
    </row>
    <row r="95" spans="7:10" x14ac:dyDescent="0.3">
      <c r="G95" s="28"/>
      <c r="H95" s="28"/>
      <c r="I95" s="28"/>
      <c r="J95" s="31"/>
    </row>
    <row r="96" spans="7:10" x14ac:dyDescent="0.3">
      <c r="G96" s="28"/>
      <c r="H96" s="28"/>
      <c r="I96" s="28"/>
      <c r="J96" s="31"/>
    </row>
    <row r="97" spans="7:10" x14ac:dyDescent="0.3">
      <c r="G97" s="28"/>
      <c r="H97" s="28"/>
      <c r="I97" s="28"/>
      <c r="J97" s="31"/>
    </row>
    <row r="98" spans="7:10" x14ac:dyDescent="0.3">
      <c r="G98" s="28"/>
      <c r="H98" s="28"/>
      <c r="I98" s="28"/>
      <c r="J98" s="31"/>
    </row>
    <row r="99" spans="7:10" x14ac:dyDescent="0.3">
      <c r="G99" s="28"/>
      <c r="H99" s="28"/>
      <c r="I99" s="28"/>
      <c r="J99" s="31"/>
    </row>
    <row r="100" spans="7:10" x14ac:dyDescent="0.3">
      <c r="G100" s="28"/>
      <c r="H100" s="28"/>
      <c r="I100" s="28"/>
      <c r="J100" s="31"/>
    </row>
    <row r="101" spans="7:10" x14ac:dyDescent="0.3">
      <c r="G101" s="28"/>
      <c r="H101" s="28"/>
      <c r="I101" s="28"/>
      <c r="J101" s="31"/>
    </row>
    <row r="102" spans="7:10" x14ac:dyDescent="0.3">
      <c r="G102" s="28"/>
      <c r="H102" s="28"/>
      <c r="I102" s="28"/>
      <c r="J102" s="31"/>
    </row>
    <row r="103" spans="7:10" x14ac:dyDescent="0.3">
      <c r="G103" s="28"/>
      <c r="H103" s="28"/>
      <c r="I103" s="28"/>
      <c r="J103" s="31"/>
    </row>
    <row r="104" spans="7:10" x14ac:dyDescent="0.3">
      <c r="G104" s="28"/>
      <c r="H104" s="28"/>
      <c r="I104" s="28"/>
      <c r="J104" s="31"/>
    </row>
    <row r="105" spans="7:10" x14ac:dyDescent="0.3">
      <c r="G105" s="28"/>
      <c r="H105" s="28"/>
      <c r="I105" s="28"/>
      <c r="J105" s="31"/>
    </row>
    <row r="106" spans="7:10" x14ac:dyDescent="0.3">
      <c r="G106" s="28"/>
      <c r="H106" s="28"/>
      <c r="I106" s="28"/>
      <c r="J106" s="31"/>
    </row>
    <row r="107" spans="7:10" x14ac:dyDescent="0.3">
      <c r="G107" s="28"/>
      <c r="H107" s="28"/>
      <c r="I107" s="28"/>
      <c r="J107" s="31"/>
    </row>
    <row r="108" spans="7:10" x14ac:dyDescent="0.3">
      <c r="G108" s="28"/>
      <c r="H108" s="28"/>
      <c r="I108" s="28"/>
      <c r="J108" s="31"/>
    </row>
    <row r="109" spans="7:10" x14ac:dyDescent="0.3">
      <c r="G109" s="28"/>
      <c r="H109" s="28"/>
      <c r="I109" s="28"/>
      <c r="J109" s="31"/>
    </row>
    <row r="110" spans="7:10" x14ac:dyDescent="0.3">
      <c r="G110" s="28"/>
      <c r="H110" s="28"/>
      <c r="I110" s="28"/>
      <c r="J110" s="31"/>
    </row>
    <row r="111" spans="7:10" x14ac:dyDescent="0.3">
      <c r="G111" s="28"/>
      <c r="H111" s="28"/>
      <c r="I111" s="28"/>
      <c r="J111" s="31"/>
    </row>
    <row r="112" spans="7:10" x14ac:dyDescent="0.3">
      <c r="G112" s="28"/>
      <c r="H112" s="28"/>
      <c r="I112" s="28"/>
      <c r="J112" s="31"/>
    </row>
    <row r="113" spans="7:10" x14ac:dyDescent="0.3">
      <c r="G113" s="28"/>
      <c r="H113" s="28"/>
      <c r="I113" s="28"/>
      <c r="J113" s="31"/>
    </row>
    <row r="114" spans="7:10" x14ac:dyDescent="0.3">
      <c r="G114" s="28"/>
      <c r="H114" s="28"/>
      <c r="I114" s="28"/>
      <c r="J114" s="31"/>
    </row>
    <row r="115" spans="7:10" x14ac:dyDescent="0.3">
      <c r="G115" s="28"/>
      <c r="H115" s="28"/>
      <c r="I115" s="28"/>
      <c r="J115" s="31"/>
    </row>
    <row r="116" spans="7:10" x14ac:dyDescent="0.3">
      <c r="G116" s="28"/>
      <c r="H116" s="28"/>
      <c r="I116" s="28"/>
      <c r="J116" s="31"/>
    </row>
    <row r="117" spans="7:10" x14ac:dyDescent="0.3">
      <c r="G117" s="28"/>
      <c r="H117" s="28"/>
      <c r="I117" s="28"/>
      <c r="J117" s="31"/>
    </row>
    <row r="118" spans="7:10" x14ac:dyDescent="0.3">
      <c r="G118" s="28"/>
      <c r="H118" s="28"/>
      <c r="I118" s="28"/>
      <c r="J118" s="31"/>
    </row>
    <row r="119" spans="7:10" x14ac:dyDescent="0.3">
      <c r="G119" s="28"/>
      <c r="H119" s="28"/>
      <c r="I119" s="28"/>
      <c r="J119" s="31"/>
    </row>
    <row r="120" spans="7:10" x14ac:dyDescent="0.3">
      <c r="G120" s="28"/>
      <c r="H120" s="28"/>
      <c r="I120" s="28"/>
      <c r="J120" s="31"/>
    </row>
    <row r="121" spans="7:10" x14ac:dyDescent="0.3">
      <c r="G121" s="28"/>
      <c r="H121" s="28"/>
      <c r="I121" s="28"/>
      <c r="J121" s="31"/>
    </row>
    <row r="122" spans="7:10" x14ac:dyDescent="0.3">
      <c r="G122" s="28"/>
      <c r="H122" s="28"/>
      <c r="I122" s="28"/>
      <c r="J122" s="31"/>
    </row>
    <row r="123" spans="7:10" x14ac:dyDescent="0.3">
      <c r="G123" s="28"/>
      <c r="H123" s="28"/>
      <c r="I123" s="28"/>
      <c r="J123" s="31"/>
    </row>
    <row r="124" spans="7:10" x14ac:dyDescent="0.3">
      <c r="G124" s="28"/>
      <c r="H124" s="28"/>
      <c r="I124" s="28"/>
      <c r="J124" s="31"/>
    </row>
    <row r="125" spans="7:10" x14ac:dyDescent="0.3">
      <c r="G125" s="28"/>
      <c r="H125" s="28"/>
      <c r="I125" s="28"/>
      <c r="J125" s="31"/>
    </row>
    <row r="126" spans="7:10" x14ac:dyDescent="0.3">
      <c r="G126" s="28"/>
      <c r="H126" s="28"/>
      <c r="I126" s="28"/>
      <c r="J126" s="31"/>
    </row>
    <row r="127" spans="7:10" x14ac:dyDescent="0.3">
      <c r="G127" s="28"/>
      <c r="H127" s="28"/>
      <c r="I127" s="28"/>
      <c r="J127" s="31"/>
    </row>
    <row r="128" spans="7:10" x14ac:dyDescent="0.3">
      <c r="G128" s="28"/>
      <c r="H128" s="28"/>
      <c r="I128" s="28"/>
      <c r="J128" s="31"/>
    </row>
    <row r="129" spans="7:10" x14ac:dyDescent="0.3">
      <c r="G129" s="28"/>
      <c r="H129" s="28"/>
      <c r="I129" s="28"/>
      <c r="J129" s="31"/>
    </row>
    <row r="130" spans="7:10" x14ac:dyDescent="0.3">
      <c r="G130" s="28"/>
      <c r="H130" s="28"/>
      <c r="I130" s="28"/>
      <c r="J130" s="31"/>
    </row>
    <row r="131" spans="7:10" x14ac:dyDescent="0.3">
      <c r="G131" s="28"/>
      <c r="H131" s="28"/>
      <c r="I131" s="28"/>
      <c r="J131" s="31"/>
    </row>
    <row r="132" spans="7:10" x14ac:dyDescent="0.3">
      <c r="G132" s="28"/>
      <c r="H132" s="28"/>
      <c r="I132" s="28"/>
      <c r="J132" s="31"/>
    </row>
    <row r="133" spans="7:10" x14ac:dyDescent="0.3">
      <c r="G133" s="28"/>
      <c r="H133" s="28"/>
      <c r="I133" s="28"/>
      <c r="J133" s="31"/>
    </row>
    <row r="134" spans="7:10" x14ac:dyDescent="0.3">
      <c r="G134" s="28"/>
      <c r="H134" s="28"/>
      <c r="I134" s="28"/>
      <c r="J134" s="31"/>
    </row>
    <row r="135" spans="7:10" x14ac:dyDescent="0.3">
      <c r="G135" s="28"/>
      <c r="H135" s="28"/>
      <c r="I135" s="28"/>
      <c r="J135" s="31"/>
    </row>
    <row r="136" spans="7:10" x14ac:dyDescent="0.3">
      <c r="G136" s="28"/>
      <c r="H136" s="28"/>
      <c r="I136" s="28"/>
      <c r="J136" s="31"/>
    </row>
    <row r="137" spans="7:10" x14ac:dyDescent="0.3">
      <c r="G137" s="28"/>
      <c r="H137" s="28"/>
      <c r="I137" s="28"/>
      <c r="J137" s="31"/>
    </row>
    <row r="138" spans="7:10" x14ac:dyDescent="0.3">
      <c r="G138" s="28"/>
      <c r="H138" s="28"/>
      <c r="I138" s="28"/>
      <c r="J138" s="31"/>
    </row>
    <row r="139" spans="7:10" x14ac:dyDescent="0.3">
      <c r="G139" s="28"/>
      <c r="H139" s="28"/>
      <c r="I139" s="28"/>
      <c r="J139" s="31"/>
    </row>
    <row r="140" spans="7:10" x14ac:dyDescent="0.3">
      <c r="G140" s="28"/>
      <c r="H140" s="28"/>
      <c r="I140" s="28"/>
      <c r="J140" s="31"/>
    </row>
    <row r="141" spans="7:10" x14ac:dyDescent="0.3">
      <c r="G141" s="28"/>
      <c r="H141" s="28"/>
      <c r="I141" s="28"/>
      <c r="J141" s="31"/>
    </row>
    <row r="142" spans="7:10" x14ac:dyDescent="0.3">
      <c r="G142" s="28"/>
      <c r="H142" s="28"/>
      <c r="I142" s="28"/>
      <c r="J142" s="31"/>
    </row>
    <row r="143" spans="7:10" x14ac:dyDescent="0.3">
      <c r="G143" s="28"/>
      <c r="H143" s="28"/>
      <c r="I143" s="28"/>
      <c r="J143" s="31"/>
    </row>
    <row r="144" spans="7:10" x14ac:dyDescent="0.3">
      <c r="G144" s="28"/>
      <c r="H144" s="28"/>
      <c r="I144" s="28"/>
      <c r="J144" s="31"/>
    </row>
    <row r="145" spans="7:10" x14ac:dyDescent="0.3">
      <c r="G145" s="28"/>
      <c r="H145" s="28"/>
      <c r="I145" s="28"/>
      <c r="J145" s="31"/>
    </row>
    <row r="146" spans="7:10" x14ac:dyDescent="0.3">
      <c r="G146" s="28"/>
      <c r="H146" s="28"/>
      <c r="I146" s="28"/>
      <c r="J146" s="31"/>
    </row>
    <row r="147" spans="7:10" x14ac:dyDescent="0.3">
      <c r="G147" s="28"/>
      <c r="H147" s="28"/>
      <c r="I147" s="28"/>
      <c r="J147" s="31"/>
    </row>
    <row r="148" spans="7:10" x14ac:dyDescent="0.3">
      <c r="G148" s="28"/>
      <c r="H148" s="28"/>
      <c r="I148" s="28"/>
      <c r="J148" s="31"/>
    </row>
    <row r="149" spans="7:10" x14ac:dyDescent="0.3">
      <c r="G149" s="28"/>
      <c r="H149" s="28"/>
      <c r="I149" s="28"/>
      <c r="J149" s="31"/>
    </row>
    <row r="150" spans="7:10" x14ac:dyDescent="0.3">
      <c r="G150" s="28"/>
      <c r="H150" s="28"/>
      <c r="I150" s="28"/>
      <c r="J150" s="31"/>
    </row>
    <row r="151" spans="7:10" x14ac:dyDescent="0.3">
      <c r="G151" s="28"/>
      <c r="H151" s="28"/>
      <c r="I151" s="28"/>
      <c r="J151" s="31"/>
    </row>
    <row r="152" spans="7:10" x14ac:dyDescent="0.3">
      <c r="G152" s="28"/>
      <c r="H152" s="28"/>
      <c r="I152" s="28"/>
      <c r="J152" s="31"/>
    </row>
    <row r="153" spans="7:10" x14ac:dyDescent="0.3">
      <c r="G153" s="28"/>
      <c r="H153" s="28"/>
      <c r="I153" s="28"/>
      <c r="J153" s="31"/>
    </row>
    <row r="154" spans="7:10" x14ac:dyDescent="0.3">
      <c r="G154" s="28"/>
      <c r="H154" s="28"/>
      <c r="I154" s="28"/>
      <c r="J154" s="31"/>
    </row>
    <row r="155" spans="7:10" x14ac:dyDescent="0.3">
      <c r="G155" s="28"/>
      <c r="H155" s="28"/>
      <c r="I155" s="28"/>
      <c r="J155" s="31"/>
    </row>
    <row r="156" spans="7:10" x14ac:dyDescent="0.3">
      <c r="G156" s="28"/>
      <c r="H156" s="28"/>
      <c r="I156" s="28"/>
      <c r="J156" s="31"/>
    </row>
    <row r="157" spans="7:10" x14ac:dyDescent="0.3">
      <c r="G157" s="28"/>
      <c r="H157" s="28"/>
      <c r="I157" s="28"/>
      <c r="J157" s="31"/>
    </row>
    <row r="158" spans="7:10" x14ac:dyDescent="0.3">
      <c r="G158" s="28"/>
      <c r="H158" s="28"/>
      <c r="I158" s="28"/>
      <c r="J158" s="31"/>
    </row>
    <row r="159" spans="7:10" x14ac:dyDescent="0.3">
      <c r="G159" s="28"/>
      <c r="H159" s="28"/>
      <c r="I159" s="28"/>
      <c r="J159" s="31"/>
    </row>
    <row r="160" spans="7:10" x14ac:dyDescent="0.3">
      <c r="G160" s="28"/>
      <c r="H160" s="28"/>
      <c r="I160" s="28"/>
      <c r="J160" s="31"/>
    </row>
    <row r="161" spans="7:10" x14ac:dyDescent="0.3">
      <c r="G161" s="28"/>
      <c r="H161" s="28"/>
      <c r="I161" s="28"/>
      <c r="J161" s="31"/>
    </row>
    <row r="162" spans="7:10" x14ac:dyDescent="0.3">
      <c r="G162" s="28"/>
      <c r="H162" s="28"/>
      <c r="I162" s="28"/>
      <c r="J162" s="31"/>
    </row>
    <row r="163" spans="7:10" x14ac:dyDescent="0.3">
      <c r="G163" s="28"/>
      <c r="H163" s="28"/>
      <c r="I163" s="28"/>
      <c r="J163" s="31"/>
    </row>
    <row r="164" spans="7:10" x14ac:dyDescent="0.3">
      <c r="G164" s="28"/>
      <c r="H164" s="28"/>
      <c r="I164" s="28"/>
      <c r="J164" s="31"/>
    </row>
    <row r="165" spans="7:10" x14ac:dyDescent="0.3">
      <c r="G165" s="28"/>
      <c r="H165" s="28"/>
      <c r="I165" s="28"/>
      <c r="J165" s="31"/>
    </row>
    <row r="166" spans="7:10" x14ac:dyDescent="0.3">
      <c r="G166" s="28"/>
      <c r="H166" s="28"/>
      <c r="I166" s="28"/>
      <c r="J166" s="31"/>
    </row>
    <row r="167" spans="7:10" x14ac:dyDescent="0.3">
      <c r="G167" s="28"/>
      <c r="H167" s="28"/>
      <c r="I167" s="28"/>
      <c r="J167" s="31"/>
    </row>
    <row r="168" spans="7:10" x14ac:dyDescent="0.3">
      <c r="G168" s="28"/>
      <c r="H168" s="28"/>
      <c r="I168" s="28"/>
      <c r="J168" s="31"/>
    </row>
    <row r="169" spans="7:10" x14ac:dyDescent="0.3">
      <c r="G169" s="28"/>
      <c r="H169" s="28"/>
      <c r="I169" s="28"/>
      <c r="J169" s="31"/>
    </row>
    <row r="170" spans="7:10" x14ac:dyDescent="0.3">
      <c r="G170" s="28"/>
      <c r="H170" s="28"/>
      <c r="I170" s="28"/>
      <c r="J170" s="31"/>
    </row>
    <row r="171" spans="7:10" x14ac:dyDescent="0.3">
      <c r="G171" s="28"/>
      <c r="H171" s="28"/>
      <c r="I171" s="28"/>
      <c r="J171" s="31"/>
    </row>
    <row r="172" spans="7:10" x14ac:dyDescent="0.3">
      <c r="G172" s="28"/>
      <c r="H172" s="28"/>
      <c r="I172" s="28"/>
      <c r="J172" s="31"/>
    </row>
    <row r="173" spans="7:10" x14ac:dyDescent="0.3">
      <c r="G173" s="28"/>
      <c r="H173" s="28"/>
      <c r="I173" s="28"/>
      <c r="J173" s="31"/>
    </row>
    <row r="174" spans="7:10" x14ac:dyDescent="0.3">
      <c r="G174" s="28"/>
      <c r="H174" s="28"/>
      <c r="I174" s="28"/>
      <c r="J174" s="31"/>
    </row>
    <row r="175" spans="7:10" x14ac:dyDescent="0.3">
      <c r="G175" s="28"/>
      <c r="H175" s="28"/>
      <c r="I175" s="28"/>
      <c r="J175" s="31"/>
    </row>
    <row r="176" spans="7:10" x14ac:dyDescent="0.3">
      <c r="G176" s="28"/>
      <c r="H176" s="28"/>
      <c r="I176" s="28"/>
      <c r="J176" s="31"/>
    </row>
    <row r="177" spans="7:10" x14ac:dyDescent="0.3">
      <c r="G177" s="28"/>
      <c r="H177" s="28"/>
      <c r="I177" s="28"/>
      <c r="J177" s="31"/>
    </row>
    <row r="178" spans="7:10" x14ac:dyDescent="0.3">
      <c r="G178" s="28"/>
      <c r="H178" s="28"/>
      <c r="I178" s="28"/>
      <c r="J178" s="31"/>
    </row>
    <row r="179" spans="7:10" x14ac:dyDescent="0.3">
      <c r="G179" s="28"/>
      <c r="H179" s="28"/>
      <c r="I179" s="28"/>
      <c r="J179" s="31"/>
    </row>
    <row r="180" spans="7:10" x14ac:dyDescent="0.3">
      <c r="G180" s="28"/>
      <c r="H180" s="28"/>
      <c r="I180" s="28"/>
      <c r="J180" s="31"/>
    </row>
    <row r="181" spans="7:10" x14ac:dyDescent="0.3">
      <c r="G181" s="28"/>
      <c r="H181" s="28"/>
      <c r="I181" s="28"/>
      <c r="J181" s="31"/>
    </row>
    <row r="182" spans="7:10" x14ac:dyDescent="0.3">
      <c r="G182" s="28"/>
      <c r="H182" s="28"/>
      <c r="I182" s="28"/>
      <c r="J182" s="31"/>
    </row>
    <row r="183" spans="7:10" x14ac:dyDescent="0.3">
      <c r="G183" s="28"/>
      <c r="H183" s="28"/>
      <c r="I183" s="28"/>
      <c r="J183" s="31"/>
    </row>
    <row r="184" spans="7:10" x14ac:dyDescent="0.3">
      <c r="G184" s="28"/>
      <c r="H184" s="28"/>
      <c r="I184" s="28"/>
      <c r="J184" s="31"/>
    </row>
    <row r="185" spans="7:10" x14ac:dyDescent="0.3">
      <c r="G185" s="28"/>
      <c r="H185" s="28"/>
      <c r="I185" s="28"/>
      <c r="J185" s="31"/>
    </row>
    <row r="186" spans="7:10" x14ac:dyDescent="0.3">
      <c r="G186" s="28"/>
      <c r="H186" s="28"/>
      <c r="I186" s="28"/>
      <c r="J186" s="31"/>
    </row>
    <row r="187" spans="7:10" x14ac:dyDescent="0.3">
      <c r="G187" s="28"/>
      <c r="H187" s="28"/>
      <c r="I187" s="28"/>
      <c r="J187" s="31"/>
    </row>
    <row r="188" spans="7:10" x14ac:dyDescent="0.3">
      <c r="G188" s="28"/>
      <c r="H188" s="28"/>
      <c r="I188" s="28"/>
      <c r="J188" s="31"/>
    </row>
    <row r="189" spans="7:10" x14ac:dyDescent="0.3">
      <c r="G189" s="28"/>
      <c r="H189" s="28"/>
      <c r="I189" s="28"/>
      <c r="J189" s="31"/>
    </row>
    <row r="190" spans="7:10" x14ac:dyDescent="0.3">
      <c r="G190" s="28"/>
      <c r="H190" s="28"/>
      <c r="I190" s="28"/>
      <c r="J190" s="31"/>
    </row>
    <row r="191" spans="7:10" x14ac:dyDescent="0.3">
      <c r="G191" s="28"/>
      <c r="H191" s="28"/>
      <c r="I191" s="28"/>
      <c r="J191" s="31"/>
    </row>
    <row r="192" spans="7:10" x14ac:dyDescent="0.3">
      <c r="G192" s="28"/>
      <c r="H192" s="28"/>
      <c r="I192" s="28"/>
      <c r="J192" s="31"/>
    </row>
    <row r="193" spans="7:10" x14ac:dyDescent="0.3">
      <c r="G193" s="28"/>
      <c r="H193" s="28"/>
      <c r="I193" s="28"/>
      <c r="J193" s="31"/>
    </row>
    <row r="194" spans="7:10" x14ac:dyDescent="0.3">
      <c r="G194" s="28"/>
      <c r="H194" s="28"/>
      <c r="I194" s="28"/>
      <c r="J194" s="31"/>
    </row>
    <row r="195" spans="7:10" x14ac:dyDescent="0.3">
      <c r="G195" s="28"/>
      <c r="H195" s="28"/>
      <c r="I195" s="28"/>
      <c r="J195" s="31"/>
    </row>
    <row r="196" spans="7:10" x14ac:dyDescent="0.3">
      <c r="G196" s="28"/>
      <c r="H196" s="28"/>
      <c r="I196" s="28"/>
      <c r="J196" s="31"/>
    </row>
    <row r="197" spans="7:10" x14ac:dyDescent="0.3">
      <c r="G197" s="28"/>
      <c r="H197" s="28"/>
      <c r="I197" s="28"/>
      <c r="J197" s="31"/>
    </row>
    <row r="198" spans="7:10" x14ac:dyDescent="0.3">
      <c r="G198" s="28"/>
      <c r="H198" s="28"/>
      <c r="I198" s="28"/>
      <c r="J198" s="31"/>
    </row>
    <row r="199" spans="7:10" x14ac:dyDescent="0.3">
      <c r="G199" s="28"/>
      <c r="H199" s="28"/>
      <c r="I199" s="28"/>
      <c r="J199" s="31"/>
    </row>
    <row r="200" spans="7:10" x14ac:dyDescent="0.3">
      <c r="G200" s="28"/>
      <c r="H200" s="28"/>
      <c r="I200" s="28"/>
      <c r="J200" s="31"/>
    </row>
    <row r="201" spans="7:10" x14ac:dyDescent="0.3">
      <c r="G201" s="28"/>
      <c r="H201" s="28"/>
      <c r="I201" s="28"/>
      <c r="J201" s="31"/>
    </row>
    <row r="202" spans="7:10" x14ac:dyDescent="0.3">
      <c r="G202" s="28"/>
      <c r="H202" s="28"/>
      <c r="I202" s="28"/>
      <c r="J202" s="31"/>
    </row>
    <row r="203" spans="7:10" x14ac:dyDescent="0.3">
      <c r="G203" s="28"/>
      <c r="H203" s="28"/>
      <c r="I203" s="28"/>
      <c r="J203" s="31"/>
    </row>
    <row r="204" spans="7:10" x14ac:dyDescent="0.3">
      <c r="G204" s="28"/>
      <c r="H204" s="28"/>
      <c r="I204" s="28"/>
      <c r="J204" s="31"/>
    </row>
    <row r="205" spans="7:10" x14ac:dyDescent="0.3">
      <c r="G205" s="28"/>
      <c r="H205" s="28"/>
      <c r="I205" s="28"/>
      <c r="J205" s="31"/>
    </row>
    <row r="206" spans="7:10" x14ac:dyDescent="0.3">
      <c r="G206" s="28"/>
      <c r="H206" s="28"/>
      <c r="I206" s="28"/>
      <c r="J206" s="31"/>
    </row>
    <row r="207" spans="7:10" x14ac:dyDescent="0.3">
      <c r="G207" s="28"/>
      <c r="H207" s="28"/>
      <c r="I207" s="28"/>
      <c r="J207" s="31"/>
    </row>
    <row r="208" spans="7:10" x14ac:dyDescent="0.3">
      <c r="G208" s="28"/>
      <c r="H208" s="28"/>
      <c r="I208" s="28"/>
      <c r="J208" s="31"/>
    </row>
    <row r="209" spans="7:10" x14ac:dyDescent="0.3">
      <c r="G209" s="28"/>
      <c r="H209" s="28"/>
      <c r="I209" s="28"/>
      <c r="J209" s="31"/>
    </row>
    <row r="210" spans="7:10" x14ac:dyDescent="0.3">
      <c r="G210" s="28"/>
      <c r="H210" s="28"/>
      <c r="I210" s="28"/>
      <c r="J210" s="31"/>
    </row>
    <row r="211" spans="7:10" x14ac:dyDescent="0.3">
      <c r="G211" s="28"/>
      <c r="H211" s="28"/>
      <c r="I211" s="28"/>
      <c r="J211" s="31"/>
    </row>
    <row r="212" spans="7:10" x14ac:dyDescent="0.3">
      <c r="G212" s="28"/>
      <c r="H212" s="28"/>
      <c r="I212" s="28"/>
      <c r="J212" s="31"/>
    </row>
    <row r="213" spans="7:10" x14ac:dyDescent="0.3">
      <c r="G213" s="28"/>
      <c r="H213" s="28"/>
      <c r="I213" s="28"/>
      <c r="J213" s="31"/>
    </row>
    <row r="214" spans="7:10" x14ac:dyDescent="0.3">
      <c r="G214" s="28"/>
      <c r="H214" s="28"/>
      <c r="I214" s="28"/>
      <c r="J214" s="31"/>
    </row>
    <row r="215" spans="7:10" x14ac:dyDescent="0.3">
      <c r="G215" s="28"/>
      <c r="H215" s="28"/>
      <c r="I215" s="28"/>
      <c r="J215" s="31"/>
    </row>
    <row r="216" spans="7:10" x14ac:dyDescent="0.3">
      <c r="G216" s="28"/>
      <c r="H216" s="28"/>
      <c r="I216" s="28"/>
      <c r="J216" s="31"/>
    </row>
    <row r="217" spans="7:10" x14ac:dyDescent="0.3">
      <c r="G217" s="28"/>
      <c r="H217" s="28"/>
      <c r="I217" s="28"/>
      <c r="J217" s="31"/>
    </row>
    <row r="218" spans="7:10" x14ac:dyDescent="0.3">
      <c r="G218" s="28"/>
      <c r="H218" s="28"/>
      <c r="I218" s="28"/>
      <c r="J218" s="31"/>
    </row>
    <row r="219" spans="7:10" x14ac:dyDescent="0.3">
      <c r="G219" s="28"/>
      <c r="H219" s="28"/>
      <c r="I219" s="28"/>
      <c r="J219" s="31"/>
    </row>
    <row r="220" spans="7:10" x14ac:dyDescent="0.3">
      <c r="G220" s="28"/>
      <c r="H220" s="28"/>
      <c r="I220" s="28"/>
      <c r="J220" s="31"/>
    </row>
    <row r="221" spans="7:10" x14ac:dyDescent="0.3">
      <c r="G221" s="28"/>
      <c r="H221" s="28"/>
      <c r="I221" s="28"/>
      <c r="J221" s="31"/>
    </row>
    <row r="222" spans="7:10" x14ac:dyDescent="0.3">
      <c r="G222" s="28"/>
      <c r="H222" s="28"/>
      <c r="I222" s="28"/>
      <c r="J222" s="31"/>
    </row>
    <row r="223" spans="7:10" x14ac:dyDescent="0.3">
      <c r="G223" s="28"/>
      <c r="H223" s="28"/>
      <c r="I223" s="28"/>
      <c r="J223" s="31"/>
    </row>
    <row r="224" spans="7:10" x14ac:dyDescent="0.3">
      <c r="G224" s="28"/>
      <c r="H224" s="28"/>
      <c r="I224" s="28"/>
      <c r="J224" s="31"/>
    </row>
    <row r="225" spans="7:10" x14ac:dyDescent="0.3">
      <c r="G225" s="28"/>
      <c r="H225" s="28"/>
      <c r="I225" s="28"/>
      <c r="J225" s="31"/>
    </row>
    <row r="226" spans="7:10" x14ac:dyDescent="0.3">
      <c r="G226" s="28"/>
      <c r="H226" s="28"/>
      <c r="I226" s="28"/>
      <c r="J226" s="31"/>
    </row>
    <row r="227" spans="7:10" x14ac:dyDescent="0.3">
      <c r="G227" s="28"/>
      <c r="H227" s="28"/>
      <c r="I227" s="28"/>
      <c r="J227" s="31"/>
    </row>
    <row r="228" spans="7:10" x14ac:dyDescent="0.3">
      <c r="G228" s="28"/>
      <c r="H228" s="28"/>
      <c r="I228" s="28"/>
      <c r="J228" s="31"/>
    </row>
    <row r="229" spans="7:10" x14ac:dyDescent="0.3">
      <c r="G229" s="28"/>
      <c r="H229" s="28"/>
      <c r="I229" s="28"/>
      <c r="J229" s="31"/>
    </row>
    <row r="230" spans="7:10" x14ac:dyDescent="0.3">
      <c r="G230" s="28"/>
      <c r="H230" s="28"/>
      <c r="I230" s="28"/>
      <c r="J230" s="31"/>
    </row>
    <row r="231" spans="7:10" x14ac:dyDescent="0.3">
      <c r="G231" s="28"/>
      <c r="H231" s="28"/>
      <c r="I231" s="28"/>
      <c r="J231" s="31"/>
    </row>
    <row r="232" spans="7:10" x14ac:dyDescent="0.3">
      <c r="G232" s="28"/>
      <c r="H232" s="28"/>
      <c r="I232" s="28"/>
      <c r="J232" s="31"/>
    </row>
    <row r="233" spans="7:10" x14ac:dyDescent="0.3">
      <c r="G233" s="28"/>
      <c r="H233" s="28"/>
      <c r="I233" s="28"/>
      <c r="J233" s="31"/>
    </row>
    <row r="234" spans="7:10" x14ac:dyDescent="0.3">
      <c r="G234" s="28"/>
      <c r="H234" s="28"/>
      <c r="I234" s="28"/>
      <c r="J234" s="31"/>
    </row>
    <row r="235" spans="7:10" x14ac:dyDescent="0.3">
      <c r="G235" s="28"/>
      <c r="H235" s="28"/>
      <c r="I235" s="28"/>
      <c r="J235" s="31"/>
    </row>
    <row r="236" spans="7:10" x14ac:dyDescent="0.3">
      <c r="G236" s="28"/>
      <c r="H236" s="28"/>
      <c r="I236" s="28"/>
      <c r="J236" s="31"/>
    </row>
    <row r="237" spans="7:10" x14ac:dyDescent="0.3">
      <c r="G237" s="28"/>
      <c r="H237" s="28"/>
      <c r="I237" s="28"/>
      <c r="J237" s="31"/>
    </row>
    <row r="238" spans="7:10" x14ac:dyDescent="0.3">
      <c r="G238" s="28"/>
      <c r="H238" s="28"/>
      <c r="I238" s="28"/>
      <c r="J238" s="31"/>
    </row>
    <row r="239" spans="7:10" x14ac:dyDescent="0.3">
      <c r="G239" s="28"/>
      <c r="H239" s="28"/>
      <c r="I239" s="28"/>
      <c r="J239" s="31"/>
    </row>
    <row r="240" spans="7:10" x14ac:dyDescent="0.3">
      <c r="G240" s="28"/>
      <c r="H240" s="28"/>
      <c r="I240" s="28"/>
      <c r="J240" s="31"/>
    </row>
    <row r="241" spans="7:10" x14ac:dyDescent="0.3">
      <c r="G241" s="28"/>
      <c r="H241" s="28"/>
      <c r="I241" s="28"/>
      <c r="J241" s="31"/>
    </row>
    <row r="242" spans="7:10" x14ac:dyDescent="0.3">
      <c r="G242" s="28"/>
      <c r="H242" s="28"/>
      <c r="I242" s="28"/>
      <c r="J242" s="31"/>
    </row>
    <row r="243" spans="7:10" x14ac:dyDescent="0.3">
      <c r="G243" s="28"/>
      <c r="H243" s="28"/>
      <c r="I243" s="28"/>
      <c r="J243" s="31"/>
    </row>
    <row r="244" spans="7:10" x14ac:dyDescent="0.3">
      <c r="G244" s="28"/>
      <c r="H244" s="28"/>
      <c r="I244" s="28"/>
      <c r="J244" s="31"/>
    </row>
    <row r="245" spans="7:10" x14ac:dyDescent="0.3">
      <c r="G245" s="28"/>
      <c r="H245" s="28"/>
      <c r="I245" s="28"/>
      <c r="J245" s="31"/>
    </row>
    <row r="246" spans="7:10" x14ac:dyDescent="0.3">
      <c r="G246" s="28"/>
      <c r="H246" s="28"/>
      <c r="I246" s="28"/>
      <c r="J246" s="31"/>
    </row>
    <row r="247" spans="7:10" x14ac:dyDescent="0.3">
      <c r="G247" s="28"/>
      <c r="H247" s="28"/>
      <c r="I247" s="28"/>
      <c r="J247" s="31"/>
    </row>
    <row r="248" spans="7:10" x14ac:dyDescent="0.3">
      <c r="G248" s="28"/>
      <c r="H248" s="28"/>
      <c r="I248" s="28"/>
      <c r="J248" s="31"/>
    </row>
    <row r="249" spans="7:10" x14ac:dyDescent="0.3">
      <c r="G249" s="28"/>
      <c r="H249" s="28"/>
      <c r="I249" s="28"/>
      <c r="J249" s="31"/>
    </row>
    <row r="250" spans="7:10" x14ac:dyDescent="0.3">
      <c r="G250" s="28"/>
      <c r="H250" s="28"/>
      <c r="I250" s="28"/>
      <c r="J250" s="31"/>
    </row>
    <row r="251" spans="7:10" x14ac:dyDescent="0.3">
      <c r="G251" s="28"/>
      <c r="H251" s="28"/>
      <c r="I251" s="28"/>
      <c r="J251" s="31"/>
    </row>
    <row r="252" spans="7:10" x14ac:dyDescent="0.3">
      <c r="G252" s="28"/>
      <c r="H252" s="28"/>
      <c r="I252" s="28"/>
      <c r="J252" s="31"/>
    </row>
    <row r="253" spans="7:10" x14ac:dyDescent="0.3">
      <c r="G253" s="28"/>
      <c r="H253" s="28"/>
      <c r="I253" s="28"/>
      <c r="J253" s="31"/>
    </row>
    <row r="254" spans="7:10" x14ac:dyDescent="0.3">
      <c r="G254" s="28"/>
      <c r="H254" s="28"/>
      <c r="I254" s="28"/>
      <c r="J254" s="31"/>
    </row>
    <row r="255" spans="7:10" x14ac:dyDescent="0.3">
      <c r="G255" s="28"/>
      <c r="H255" s="28"/>
      <c r="I255" s="28"/>
      <c r="J255" s="31"/>
    </row>
    <row r="256" spans="7:10" x14ac:dyDescent="0.3">
      <c r="G256" s="28"/>
      <c r="H256" s="28"/>
      <c r="I256" s="28"/>
      <c r="J256" s="31"/>
    </row>
    <row r="257" spans="7:10" x14ac:dyDescent="0.3">
      <c r="G257" s="28"/>
      <c r="H257" s="28"/>
      <c r="I257" s="28"/>
      <c r="J257" s="31"/>
    </row>
    <row r="258" spans="7:10" x14ac:dyDescent="0.3">
      <c r="G258" s="28"/>
      <c r="H258" s="28"/>
      <c r="I258" s="28"/>
      <c r="J258" s="31"/>
    </row>
    <row r="259" spans="7:10" x14ac:dyDescent="0.3">
      <c r="G259" s="28"/>
      <c r="H259" s="28"/>
      <c r="I259" s="28"/>
      <c r="J259" s="31"/>
    </row>
    <row r="260" spans="7:10" x14ac:dyDescent="0.3">
      <c r="G260" s="28"/>
      <c r="H260" s="28"/>
      <c r="I260" s="28"/>
      <c r="J260" s="31"/>
    </row>
    <row r="261" spans="7:10" x14ac:dyDescent="0.3">
      <c r="G261" s="28"/>
      <c r="H261" s="28"/>
      <c r="I261" s="28"/>
      <c r="J261" s="31"/>
    </row>
    <row r="262" spans="7:10" x14ac:dyDescent="0.3">
      <c r="G262" s="28"/>
      <c r="H262" s="28"/>
      <c r="I262" s="28"/>
      <c r="J262" s="31"/>
    </row>
    <row r="263" spans="7:10" x14ac:dyDescent="0.3">
      <c r="G263" s="28"/>
      <c r="H263" s="28"/>
      <c r="I263" s="28"/>
      <c r="J263" s="31"/>
    </row>
    <row r="264" spans="7:10" x14ac:dyDescent="0.3">
      <c r="G264" s="28"/>
      <c r="H264" s="28"/>
      <c r="I264" s="28"/>
      <c r="J264" s="31"/>
    </row>
    <row r="265" spans="7:10" x14ac:dyDescent="0.3">
      <c r="G265" s="28"/>
      <c r="H265" s="28"/>
      <c r="I265" s="28"/>
      <c r="J265" s="31"/>
    </row>
    <row r="266" spans="7:10" x14ac:dyDescent="0.3">
      <c r="G266" s="28"/>
      <c r="H266" s="28"/>
      <c r="I266" s="28"/>
      <c r="J266" s="31"/>
    </row>
    <row r="267" spans="7:10" x14ac:dyDescent="0.3">
      <c r="G267" s="28"/>
      <c r="H267" s="28"/>
      <c r="I267" s="28"/>
      <c r="J267" s="31"/>
    </row>
    <row r="268" spans="7:10" x14ac:dyDescent="0.3">
      <c r="G268" s="28"/>
      <c r="H268" s="28"/>
      <c r="I268" s="28"/>
      <c r="J268" s="31"/>
    </row>
    <row r="269" spans="7:10" x14ac:dyDescent="0.3">
      <c r="G269" s="28"/>
      <c r="H269" s="28"/>
      <c r="I269" s="28"/>
      <c r="J269" s="31"/>
    </row>
    <row r="270" spans="7:10" x14ac:dyDescent="0.3">
      <c r="G270" s="28"/>
      <c r="H270" s="28"/>
      <c r="I270" s="28"/>
      <c r="J270" s="31"/>
    </row>
    <row r="271" spans="7:10" x14ac:dyDescent="0.3">
      <c r="G271" s="28"/>
      <c r="H271" s="28"/>
      <c r="I271" s="28"/>
      <c r="J271" s="31"/>
    </row>
    <row r="272" spans="7:10" x14ac:dyDescent="0.3">
      <c r="G272" s="28"/>
      <c r="H272" s="28"/>
      <c r="I272" s="28"/>
      <c r="J272" s="31"/>
    </row>
    <row r="273" spans="7:10" x14ac:dyDescent="0.3">
      <c r="G273" s="28"/>
      <c r="H273" s="28"/>
      <c r="I273" s="28"/>
      <c r="J273" s="31"/>
    </row>
    <row r="274" spans="7:10" x14ac:dyDescent="0.3">
      <c r="G274" s="28"/>
      <c r="H274" s="28"/>
      <c r="I274" s="28"/>
      <c r="J274" s="31"/>
    </row>
    <row r="275" spans="7:10" x14ac:dyDescent="0.3">
      <c r="G275" s="28"/>
      <c r="H275" s="28"/>
      <c r="I275" s="28"/>
      <c r="J275" s="31"/>
    </row>
    <row r="276" spans="7:10" x14ac:dyDescent="0.3">
      <c r="G276" s="28"/>
      <c r="H276" s="28"/>
      <c r="I276" s="28"/>
      <c r="J276" s="31"/>
    </row>
    <row r="277" spans="7:10" x14ac:dyDescent="0.3">
      <c r="G277" s="28"/>
      <c r="H277" s="28"/>
      <c r="I277" s="28"/>
      <c r="J277" s="31"/>
    </row>
    <row r="278" spans="7:10" x14ac:dyDescent="0.3">
      <c r="G278" s="28"/>
      <c r="H278" s="28"/>
      <c r="I278" s="28"/>
      <c r="J278" s="31"/>
    </row>
    <row r="279" spans="7:10" x14ac:dyDescent="0.3">
      <c r="G279" s="28"/>
      <c r="H279" s="28"/>
      <c r="I279" s="28"/>
      <c r="J279" s="31"/>
    </row>
    <row r="280" spans="7:10" x14ac:dyDescent="0.3">
      <c r="G280" s="28"/>
      <c r="H280" s="28"/>
      <c r="I280" s="28"/>
      <c r="J280" s="31"/>
    </row>
    <row r="281" spans="7:10" x14ac:dyDescent="0.3">
      <c r="G281" s="28"/>
      <c r="H281" s="28"/>
      <c r="I281" s="28"/>
      <c r="J281" s="31"/>
    </row>
    <row r="282" spans="7:10" x14ac:dyDescent="0.3">
      <c r="G282" s="28"/>
      <c r="H282" s="28"/>
      <c r="I282" s="28"/>
      <c r="J282" s="31"/>
    </row>
    <row r="283" spans="7:10" x14ac:dyDescent="0.3">
      <c r="G283" s="28"/>
      <c r="H283" s="28"/>
      <c r="I283" s="28"/>
      <c r="J283" s="31"/>
    </row>
    <row r="284" spans="7:10" x14ac:dyDescent="0.3">
      <c r="G284" s="28"/>
      <c r="H284" s="28"/>
      <c r="I284" s="28"/>
      <c r="J284" s="31"/>
    </row>
    <row r="285" spans="7:10" x14ac:dyDescent="0.3">
      <c r="G285" s="28"/>
      <c r="H285" s="28"/>
      <c r="I285" s="28"/>
      <c r="J285" s="31"/>
    </row>
    <row r="286" spans="7:10" x14ac:dyDescent="0.3">
      <c r="G286" s="28"/>
      <c r="H286" s="28"/>
      <c r="I286" s="28"/>
      <c r="J286" s="31"/>
    </row>
    <row r="287" spans="7:10" x14ac:dyDescent="0.3">
      <c r="G287" s="28"/>
      <c r="H287" s="28"/>
      <c r="I287" s="28"/>
      <c r="J287" s="31"/>
    </row>
    <row r="288" spans="7:10" x14ac:dyDescent="0.3">
      <c r="G288" s="28"/>
      <c r="H288" s="28"/>
      <c r="I288" s="28"/>
      <c r="J288" s="31"/>
    </row>
    <row r="289" spans="7:10" x14ac:dyDescent="0.3">
      <c r="G289" s="28"/>
      <c r="H289" s="28"/>
      <c r="I289" s="28"/>
      <c r="J289" s="31"/>
    </row>
    <row r="290" spans="7:10" x14ac:dyDescent="0.3">
      <c r="G290" s="28"/>
      <c r="H290" s="28"/>
      <c r="I290" s="28"/>
      <c r="J290" s="31"/>
    </row>
    <row r="291" spans="7:10" x14ac:dyDescent="0.3">
      <c r="G291" s="28"/>
      <c r="H291" s="28"/>
      <c r="I291" s="28"/>
      <c r="J291" s="31"/>
    </row>
    <row r="292" spans="7:10" x14ac:dyDescent="0.3">
      <c r="G292" s="28"/>
      <c r="H292" s="28"/>
      <c r="I292" s="28"/>
      <c r="J292" s="31"/>
    </row>
    <row r="293" spans="7:10" x14ac:dyDescent="0.3">
      <c r="G293" s="28"/>
      <c r="H293" s="28"/>
      <c r="I293" s="28"/>
      <c r="J293" s="31"/>
    </row>
    <row r="294" spans="7:10" x14ac:dyDescent="0.3">
      <c r="G294" s="28"/>
      <c r="H294" s="28"/>
      <c r="I294" s="28"/>
      <c r="J294" s="31"/>
    </row>
    <row r="295" spans="7:10" x14ac:dyDescent="0.3">
      <c r="G295" s="28"/>
      <c r="H295" s="28"/>
      <c r="I295" s="28"/>
      <c r="J295" s="31"/>
    </row>
    <row r="296" spans="7:10" x14ac:dyDescent="0.3">
      <c r="G296" s="28"/>
      <c r="H296" s="28"/>
      <c r="I296" s="28"/>
      <c r="J296" s="31"/>
    </row>
    <row r="297" spans="7:10" x14ac:dyDescent="0.3">
      <c r="G297" s="28"/>
      <c r="H297" s="28"/>
      <c r="I297" s="28"/>
      <c r="J297" s="31"/>
    </row>
    <row r="298" spans="7:10" x14ac:dyDescent="0.3">
      <c r="G298" s="28"/>
      <c r="H298" s="28"/>
      <c r="I298" s="28"/>
      <c r="J298" s="31"/>
    </row>
    <row r="299" spans="7:10" x14ac:dyDescent="0.3">
      <c r="G299" s="28"/>
      <c r="H299" s="28"/>
      <c r="I299" s="28"/>
      <c r="J299" s="31"/>
    </row>
    <row r="300" spans="7:10" x14ac:dyDescent="0.3">
      <c r="G300" s="28"/>
      <c r="H300" s="28"/>
      <c r="I300" s="28"/>
      <c r="J300" s="31"/>
    </row>
    <row r="301" spans="7:10" x14ac:dyDescent="0.3">
      <c r="G301" s="28"/>
      <c r="H301" s="28"/>
      <c r="I301" s="28"/>
      <c r="J301" s="31"/>
    </row>
    <row r="302" spans="7:10" x14ac:dyDescent="0.3">
      <c r="G302" s="28"/>
      <c r="H302" s="28"/>
      <c r="I302" s="28"/>
      <c r="J302" s="31"/>
    </row>
    <row r="303" spans="7:10" x14ac:dyDescent="0.3">
      <c r="G303" s="28"/>
      <c r="H303" s="28"/>
      <c r="I303" s="28"/>
      <c r="J303" s="31"/>
    </row>
    <row r="304" spans="7:10" x14ac:dyDescent="0.3">
      <c r="G304" s="28"/>
      <c r="H304" s="28"/>
      <c r="I304" s="28"/>
      <c r="J304" s="31"/>
    </row>
    <row r="305" spans="7:10" x14ac:dyDescent="0.3">
      <c r="G305" s="28"/>
      <c r="H305" s="28"/>
      <c r="I305" s="28"/>
      <c r="J305" s="31"/>
    </row>
    <row r="306" spans="7:10" x14ac:dyDescent="0.3">
      <c r="G306" s="28"/>
      <c r="H306" s="28"/>
      <c r="I306" s="28"/>
      <c r="J306" s="31"/>
    </row>
    <row r="307" spans="7:10" x14ac:dyDescent="0.3">
      <c r="G307" s="28"/>
      <c r="H307" s="28"/>
      <c r="I307" s="28"/>
      <c r="J307" s="31"/>
    </row>
    <row r="308" spans="7:10" x14ac:dyDescent="0.3">
      <c r="G308" s="28"/>
      <c r="H308" s="28"/>
      <c r="I308" s="28"/>
      <c r="J308" s="31"/>
    </row>
    <row r="309" spans="7:10" x14ac:dyDescent="0.3">
      <c r="G309" s="28"/>
      <c r="H309" s="28"/>
      <c r="I309" s="28"/>
      <c r="J309" s="31"/>
    </row>
    <row r="310" spans="7:10" x14ac:dyDescent="0.3">
      <c r="G310" s="28"/>
      <c r="H310" s="28"/>
      <c r="I310" s="28"/>
      <c r="J310" s="31"/>
    </row>
    <row r="311" spans="7:10" x14ac:dyDescent="0.3">
      <c r="G311" s="28"/>
      <c r="H311" s="28"/>
      <c r="I311" s="28"/>
      <c r="J311" s="31"/>
    </row>
    <row r="312" spans="7:10" x14ac:dyDescent="0.3">
      <c r="G312" s="28"/>
      <c r="H312" s="28"/>
      <c r="I312" s="28"/>
      <c r="J312" s="31"/>
    </row>
    <row r="313" spans="7:10" x14ac:dyDescent="0.3">
      <c r="G313" s="28"/>
      <c r="H313" s="28"/>
      <c r="I313" s="28"/>
      <c r="J313" s="31"/>
    </row>
    <row r="314" spans="7:10" x14ac:dyDescent="0.3">
      <c r="G314" s="28"/>
      <c r="H314" s="28"/>
      <c r="I314" s="28"/>
      <c r="J314" s="31"/>
    </row>
    <row r="315" spans="7:10" x14ac:dyDescent="0.3">
      <c r="G315" s="28"/>
      <c r="H315" s="28"/>
      <c r="I315" s="28"/>
      <c r="J315" s="31"/>
    </row>
    <row r="316" spans="7:10" x14ac:dyDescent="0.3">
      <c r="G316" s="28"/>
      <c r="H316" s="28"/>
      <c r="I316" s="28"/>
      <c r="J316" s="31"/>
    </row>
    <row r="317" spans="7:10" x14ac:dyDescent="0.3">
      <c r="G317" s="28"/>
      <c r="H317" s="28"/>
      <c r="I317" s="28"/>
      <c r="J317" s="31"/>
    </row>
    <row r="318" spans="7:10" x14ac:dyDescent="0.3">
      <c r="G318" s="28"/>
      <c r="H318" s="28"/>
      <c r="I318" s="28"/>
      <c r="J318" s="31"/>
    </row>
    <row r="319" spans="7:10" x14ac:dyDescent="0.3">
      <c r="G319" s="28"/>
      <c r="H319" s="28"/>
      <c r="I319" s="28"/>
      <c r="J319" s="31"/>
    </row>
    <row r="320" spans="7:10" x14ac:dyDescent="0.3">
      <c r="G320" s="28"/>
      <c r="H320" s="28"/>
      <c r="I320" s="28"/>
      <c r="J320" s="31"/>
    </row>
    <row r="321" spans="7:10" x14ac:dyDescent="0.3">
      <c r="G321" s="28"/>
      <c r="H321" s="28"/>
      <c r="I321" s="28"/>
      <c r="J321" s="31"/>
    </row>
    <row r="322" spans="7:10" x14ac:dyDescent="0.3">
      <c r="G322" s="28"/>
      <c r="H322" s="28"/>
      <c r="I322" s="28"/>
      <c r="J322" s="31"/>
    </row>
    <row r="323" spans="7:10" x14ac:dyDescent="0.3">
      <c r="G323" s="28"/>
      <c r="H323" s="28"/>
      <c r="I323" s="28"/>
      <c r="J323" s="31"/>
    </row>
    <row r="324" spans="7:10" x14ac:dyDescent="0.3">
      <c r="G324" s="28"/>
      <c r="H324" s="28"/>
      <c r="I324" s="28"/>
      <c r="J324" s="31"/>
    </row>
    <row r="325" spans="7:10" x14ac:dyDescent="0.3">
      <c r="G325" s="28"/>
      <c r="H325" s="28"/>
      <c r="I325" s="28"/>
      <c r="J325" s="31"/>
    </row>
    <row r="326" spans="7:10" x14ac:dyDescent="0.3">
      <c r="G326" s="28"/>
      <c r="H326" s="28"/>
      <c r="I326" s="28"/>
      <c r="J326" s="31"/>
    </row>
    <row r="327" spans="7:10" x14ac:dyDescent="0.3">
      <c r="G327" s="28"/>
      <c r="H327" s="28"/>
      <c r="I327" s="28"/>
      <c r="J327" s="31"/>
    </row>
    <row r="328" spans="7:10" x14ac:dyDescent="0.3">
      <c r="G328" s="28"/>
      <c r="H328" s="28"/>
      <c r="I328" s="28"/>
      <c r="J328" s="31"/>
    </row>
    <row r="329" spans="7:10" x14ac:dyDescent="0.3">
      <c r="G329" s="28"/>
      <c r="H329" s="28"/>
      <c r="I329" s="28"/>
      <c r="J329" s="31"/>
    </row>
    <row r="330" spans="7:10" x14ac:dyDescent="0.3">
      <c r="G330" s="28"/>
      <c r="H330" s="28"/>
      <c r="I330" s="28"/>
      <c r="J330" s="31"/>
    </row>
    <row r="331" spans="7:10" x14ac:dyDescent="0.3">
      <c r="G331" s="28"/>
      <c r="H331" s="28"/>
      <c r="I331" s="28"/>
      <c r="J331" s="31"/>
    </row>
    <row r="332" spans="7:10" x14ac:dyDescent="0.3">
      <c r="G332" s="28"/>
      <c r="H332" s="28"/>
      <c r="I332" s="28"/>
      <c r="J332" s="31"/>
    </row>
    <row r="333" spans="7:10" x14ac:dyDescent="0.3">
      <c r="G333" s="28"/>
      <c r="H333" s="28"/>
      <c r="I333" s="28"/>
      <c r="J333" s="31"/>
    </row>
    <row r="334" spans="7:10" x14ac:dyDescent="0.3">
      <c r="G334" s="28"/>
      <c r="H334" s="28"/>
      <c r="I334" s="28"/>
      <c r="J334" s="31"/>
    </row>
    <row r="335" spans="7:10" x14ac:dyDescent="0.3">
      <c r="G335" s="28"/>
      <c r="H335" s="28"/>
      <c r="I335" s="28"/>
      <c r="J335" s="31"/>
    </row>
    <row r="336" spans="7:10" x14ac:dyDescent="0.3">
      <c r="G336" s="28"/>
      <c r="H336" s="28"/>
      <c r="I336" s="28"/>
      <c r="J336" s="31"/>
    </row>
    <row r="337" spans="7:10" x14ac:dyDescent="0.3">
      <c r="G337" s="28"/>
      <c r="H337" s="28"/>
      <c r="I337" s="28"/>
      <c r="J337" s="31"/>
    </row>
    <row r="338" spans="7:10" x14ac:dyDescent="0.3">
      <c r="G338" s="28"/>
      <c r="H338" s="28"/>
      <c r="I338" s="28"/>
      <c r="J338" s="31"/>
    </row>
    <row r="339" spans="7:10" x14ac:dyDescent="0.3">
      <c r="G339" s="28"/>
      <c r="H339" s="28"/>
      <c r="I339" s="28"/>
      <c r="J339" s="31"/>
    </row>
    <row r="340" spans="7:10" x14ac:dyDescent="0.3">
      <c r="G340" s="28"/>
      <c r="H340" s="28"/>
      <c r="I340" s="28"/>
      <c r="J340" s="31"/>
    </row>
    <row r="341" spans="7:10" x14ac:dyDescent="0.3">
      <c r="G341" s="28"/>
      <c r="H341" s="28"/>
      <c r="I341" s="28"/>
      <c r="J341" s="31"/>
    </row>
    <row r="342" spans="7:10" x14ac:dyDescent="0.3">
      <c r="G342" s="28"/>
      <c r="H342" s="28"/>
      <c r="I342" s="28"/>
      <c r="J342" s="31"/>
    </row>
    <row r="343" spans="7:10" x14ac:dyDescent="0.3">
      <c r="G343" s="28"/>
      <c r="H343" s="28"/>
      <c r="I343" s="28"/>
      <c r="J343" s="31"/>
    </row>
    <row r="344" spans="7:10" x14ac:dyDescent="0.3">
      <c r="G344" s="28"/>
      <c r="H344" s="28"/>
      <c r="I344" s="28"/>
      <c r="J344" s="31"/>
    </row>
    <row r="345" spans="7:10" x14ac:dyDescent="0.3">
      <c r="G345" s="28"/>
      <c r="H345" s="28"/>
      <c r="I345" s="28"/>
      <c r="J345" s="31"/>
    </row>
    <row r="346" spans="7:10" x14ac:dyDescent="0.3">
      <c r="G346" s="28"/>
      <c r="H346" s="28"/>
      <c r="I346" s="28"/>
      <c r="J346" s="31"/>
    </row>
    <row r="347" spans="7:10" x14ac:dyDescent="0.3">
      <c r="G347" s="28"/>
      <c r="H347" s="28"/>
      <c r="I347" s="28"/>
      <c r="J347" s="31"/>
    </row>
    <row r="348" spans="7:10" x14ac:dyDescent="0.3">
      <c r="G348" s="28"/>
      <c r="H348" s="28"/>
      <c r="I348" s="28"/>
      <c r="J348" s="31"/>
    </row>
    <row r="349" spans="7:10" x14ac:dyDescent="0.3">
      <c r="G349" s="28"/>
      <c r="H349" s="28"/>
      <c r="I349" s="28"/>
      <c r="J349" s="31"/>
    </row>
    <row r="350" spans="7:10" x14ac:dyDescent="0.3">
      <c r="G350" s="28"/>
      <c r="H350" s="28"/>
      <c r="I350" s="28"/>
      <c r="J350" s="31"/>
    </row>
    <row r="351" spans="7:10" x14ac:dyDescent="0.3">
      <c r="G351" s="28"/>
      <c r="H351" s="28"/>
      <c r="I351" s="28"/>
      <c r="J351" s="31"/>
    </row>
    <row r="352" spans="7:10" x14ac:dyDescent="0.3">
      <c r="G352" s="28"/>
      <c r="H352" s="28"/>
      <c r="I352" s="28"/>
      <c r="J352" s="31"/>
    </row>
    <row r="353" spans="7:10" x14ac:dyDescent="0.3">
      <c r="G353" s="28"/>
      <c r="H353" s="28"/>
      <c r="I353" s="28"/>
      <c r="J353" s="31"/>
    </row>
    <row r="354" spans="7:10" x14ac:dyDescent="0.3">
      <c r="G354" s="28"/>
      <c r="H354" s="28"/>
      <c r="I354" s="28"/>
      <c r="J354" s="31"/>
    </row>
    <row r="355" spans="7:10" x14ac:dyDescent="0.3">
      <c r="G355" s="28"/>
      <c r="H355" s="28"/>
      <c r="I355" s="28"/>
      <c r="J355" s="31"/>
    </row>
    <row r="356" spans="7:10" x14ac:dyDescent="0.3">
      <c r="G356" s="28"/>
      <c r="H356" s="28"/>
      <c r="I356" s="28"/>
      <c r="J356" s="31"/>
    </row>
    <row r="357" spans="7:10" x14ac:dyDescent="0.3">
      <c r="G357" s="28"/>
      <c r="H357" s="28"/>
      <c r="I357" s="28"/>
      <c r="J357" s="31"/>
    </row>
    <row r="358" spans="7:10" x14ac:dyDescent="0.3">
      <c r="G358" s="28"/>
      <c r="H358" s="28"/>
      <c r="I358" s="28"/>
      <c r="J358" s="31"/>
    </row>
    <row r="359" spans="7:10" x14ac:dyDescent="0.3">
      <c r="G359" s="28"/>
      <c r="H359" s="28"/>
      <c r="I359" s="28"/>
      <c r="J359" s="31"/>
    </row>
    <row r="360" spans="7:10" x14ac:dyDescent="0.3">
      <c r="G360" s="28"/>
      <c r="H360" s="28"/>
      <c r="I360" s="28"/>
      <c r="J360" s="31"/>
    </row>
    <row r="361" spans="7:10" x14ac:dyDescent="0.3">
      <c r="G361" s="28"/>
      <c r="H361" s="28"/>
      <c r="I361" s="28"/>
      <c r="J361" s="31"/>
    </row>
    <row r="362" spans="7:10" x14ac:dyDescent="0.3">
      <c r="G362" s="28"/>
      <c r="H362" s="28"/>
      <c r="I362" s="28"/>
      <c r="J362" s="31"/>
    </row>
    <row r="363" spans="7:10" x14ac:dyDescent="0.3">
      <c r="G363" s="28"/>
      <c r="H363" s="28"/>
      <c r="I363" s="28"/>
      <c r="J363" s="31"/>
    </row>
    <row r="364" spans="7:10" x14ac:dyDescent="0.3">
      <c r="G364" s="28"/>
      <c r="H364" s="28"/>
      <c r="I364" s="28"/>
      <c r="J364" s="31"/>
    </row>
    <row r="365" spans="7:10" x14ac:dyDescent="0.3">
      <c r="G365" s="28"/>
      <c r="H365" s="28"/>
      <c r="I365" s="28"/>
      <c r="J365" s="31"/>
    </row>
    <row r="366" spans="7:10" x14ac:dyDescent="0.3">
      <c r="G366" s="28"/>
      <c r="H366" s="28"/>
      <c r="I366" s="28"/>
      <c r="J366" s="31"/>
    </row>
    <row r="367" spans="7:10" x14ac:dyDescent="0.3">
      <c r="G367" s="28"/>
      <c r="H367" s="28"/>
      <c r="I367" s="28"/>
      <c r="J367" s="31"/>
    </row>
    <row r="368" spans="7:10" x14ac:dyDescent="0.3">
      <c r="G368" s="28"/>
      <c r="H368" s="28"/>
      <c r="I368" s="28"/>
      <c r="J368" s="31"/>
    </row>
    <row r="369" spans="7:10" x14ac:dyDescent="0.3">
      <c r="G369" s="28"/>
      <c r="H369" s="28"/>
      <c r="I369" s="28"/>
      <c r="J369" s="31"/>
    </row>
    <row r="370" spans="7:10" x14ac:dyDescent="0.3">
      <c r="G370" s="28"/>
      <c r="H370" s="28"/>
      <c r="I370" s="28"/>
      <c r="J370" s="31"/>
    </row>
    <row r="371" spans="7:10" x14ac:dyDescent="0.3">
      <c r="G371" s="28"/>
      <c r="H371" s="28"/>
      <c r="I371" s="28"/>
      <c r="J371" s="31"/>
    </row>
    <row r="372" spans="7:10" x14ac:dyDescent="0.3">
      <c r="G372" s="28"/>
      <c r="H372" s="28"/>
      <c r="I372" s="28"/>
      <c r="J372" s="31"/>
    </row>
    <row r="373" spans="7:10" x14ac:dyDescent="0.3">
      <c r="G373" s="28"/>
      <c r="H373" s="28"/>
      <c r="I373" s="28"/>
      <c r="J373" s="31"/>
    </row>
    <row r="374" spans="7:10" x14ac:dyDescent="0.3">
      <c r="G374" s="28"/>
      <c r="H374" s="28"/>
      <c r="I374" s="28"/>
      <c r="J374" s="31"/>
    </row>
    <row r="375" spans="7:10" x14ac:dyDescent="0.3">
      <c r="G375" s="28"/>
      <c r="H375" s="28"/>
      <c r="I375" s="28"/>
      <c r="J375" s="31"/>
    </row>
    <row r="376" spans="7:10" x14ac:dyDescent="0.3">
      <c r="G376" s="28"/>
      <c r="H376" s="28"/>
      <c r="I376" s="28"/>
      <c r="J376" s="31"/>
    </row>
    <row r="377" spans="7:10" x14ac:dyDescent="0.3">
      <c r="G377" s="28"/>
      <c r="H377" s="28"/>
      <c r="I377" s="28"/>
      <c r="J377" s="31"/>
    </row>
    <row r="378" spans="7:10" x14ac:dyDescent="0.3">
      <c r="G378" s="28"/>
      <c r="H378" s="28"/>
      <c r="I378" s="28"/>
      <c r="J378" s="31"/>
    </row>
    <row r="379" spans="7:10" x14ac:dyDescent="0.3">
      <c r="G379" s="28"/>
      <c r="H379" s="28"/>
      <c r="I379" s="28"/>
      <c r="J379" s="31"/>
    </row>
    <row r="380" spans="7:10" x14ac:dyDescent="0.3">
      <c r="G380" s="28"/>
      <c r="H380" s="28"/>
      <c r="I380" s="28"/>
      <c r="J380" s="31"/>
    </row>
    <row r="381" spans="7:10" x14ac:dyDescent="0.3">
      <c r="G381" s="28"/>
      <c r="H381" s="28"/>
      <c r="I381" s="28"/>
      <c r="J381" s="31"/>
    </row>
    <row r="382" spans="7:10" x14ac:dyDescent="0.3">
      <c r="G382" s="28"/>
      <c r="H382" s="28"/>
      <c r="I382" s="28"/>
      <c r="J382" s="31"/>
    </row>
    <row r="383" spans="7:10" x14ac:dyDescent="0.3">
      <c r="G383" s="28"/>
      <c r="H383" s="28"/>
      <c r="I383" s="28"/>
      <c r="J383" s="31"/>
    </row>
    <row r="384" spans="7:10" x14ac:dyDescent="0.3">
      <c r="G384" s="28"/>
      <c r="H384" s="28"/>
      <c r="I384" s="28"/>
      <c r="J384" s="31"/>
    </row>
    <row r="385" spans="7:10" x14ac:dyDescent="0.3">
      <c r="G385" s="28"/>
      <c r="H385" s="28"/>
      <c r="I385" s="28"/>
      <c r="J385" s="31"/>
    </row>
    <row r="386" spans="7:10" x14ac:dyDescent="0.3">
      <c r="G386" s="28"/>
      <c r="H386" s="28"/>
      <c r="I386" s="28"/>
      <c r="J386" s="31"/>
    </row>
    <row r="387" spans="7:10" x14ac:dyDescent="0.3">
      <c r="G387" s="28"/>
      <c r="H387" s="28"/>
      <c r="I387" s="28"/>
      <c r="J387" s="31"/>
    </row>
    <row r="388" spans="7:10" x14ac:dyDescent="0.3">
      <c r="G388" s="28"/>
      <c r="H388" s="28"/>
      <c r="I388" s="28"/>
      <c r="J388" s="31"/>
    </row>
    <row r="389" spans="7:10" x14ac:dyDescent="0.3">
      <c r="G389" s="28"/>
      <c r="H389" s="28"/>
      <c r="I389" s="28"/>
      <c r="J389" s="31"/>
    </row>
    <row r="390" spans="7:10" x14ac:dyDescent="0.3">
      <c r="G390" s="28"/>
      <c r="H390" s="28"/>
      <c r="I390" s="28"/>
      <c r="J390" s="31"/>
    </row>
    <row r="391" spans="7:10" x14ac:dyDescent="0.3">
      <c r="G391" s="28"/>
      <c r="H391" s="28"/>
      <c r="I391" s="28"/>
      <c r="J391" s="31"/>
    </row>
    <row r="392" spans="7:10" x14ac:dyDescent="0.3">
      <c r="G392" s="28"/>
      <c r="H392" s="28"/>
      <c r="I392" s="28"/>
      <c r="J392" s="31"/>
    </row>
    <row r="393" spans="7:10" x14ac:dyDescent="0.3">
      <c r="G393" s="28"/>
      <c r="H393" s="28"/>
      <c r="I393" s="28"/>
      <c r="J393" s="31"/>
    </row>
    <row r="394" spans="7:10" x14ac:dyDescent="0.3">
      <c r="G394" s="28"/>
      <c r="H394" s="28"/>
      <c r="I394" s="28"/>
      <c r="J394" s="31"/>
    </row>
    <row r="395" spans="7:10" x14ac:dyDescent="0.3">
      <c r="G395" s="28"/>
      <c r="H395" s="28"/>
      <c r="I395" s="28"/>
      <c r="J395" s="31"/>
    </row>
    <row r="396" spans="7:10" x14ac:dyDescent="0.3">
      <c r="G396" s="28"/>
      <c r="H396" s="28"/>
      <c r="I396" s="28"/>
      <c r="J396" s="31"/>
    </row>
    <row r="397" spans="7:10" x14ac:dyDescent="0.3">
      <c r="G397" s="28"/>
      <c r="H397" s="28"/>
      <c r="I397" s="28"/>
      <c r="J397" s="31"/>
    </row>
    <row r="398" spans="7:10" x14ac:dyDescent="0.3">
      <c r="G398" s="28"/>
      <c r="H398" s="28"/>
      <c r="I398" s="28"/>
      <c r="J398" s="31"/>
    </row>
    <row r="399" spans="7:10" x14ac:dyDescent="0.3">
      <c r="G399" s="28"/>
      <c r="H399" s="28"/>
      <c r="I399" s="28"/>
      <c r="J399" s="31"/>
    </row>
    <row r="400" spans="7:10" x14ac:dyDescent="0.3">
      <c r="G400" s="28"/>
      <c r="H400" s="28"/>
      <c r="I400" s="28"/>
      <c r="J400" s="31"/>
    </row>
    <row r="401" spans="7:10" x14ac:dyDescent="0.3">
      <c r="G401" s="28"/>
      <c r="H401" s="28"/>
      <c r="I401" s="28"/>
      <c r="J401" s="31"/>
    </row>
    <row r="402" spans="7:10" x14ac:dyDescent="0.3">
      <c r="G402" s="28"/>
      <c r="H402" s="28"/>
      <c r="I402" s="28"/>
      <c r="J402" s="31"/>
    </row>
    <row r="403" spans="7:10" x14ac:dyDescent="0.3">
      <c r="G403" s="28"/>
      <c r="H403" s="28"/>
      <c r="I403" s="28"/>
      <c r="J403" s="31"/>
    </row>
    <row r="404" spans="7:10" x14ac:dyDescent="0.3">
      <c r="G404" s="28"/>
      <c r="H404" s="28"/>
      <c r="I404" s="28"/>
      <c r="J404" s="31"/>
    </row>
    <row r="405" spans="7:10" x14ac:dyDescent="0.3">
      <c r="G405" s="28"/>
      <c r="H405" s="28"/>
      <c r="I405" s="28"/>
      <c r="J405" s="31"/>
    </row>
    <row r="406" spans="7:10" x14ac:dyDescent="0.3">
      <c r="G406" s="28"/>
      <c r="H406" s="28"/>
      <c r="I406" s="28"/>
      <c r="J406" s="31"/>
    </row>
    <row r="407" spans="7:10" x14ac:dyDescent="0.3">
      <c r="G407" s="28"/>
      <c r="H407" s="28"/>
      <c r="I407" s="28"/>
      <c r="J407" s="31"/>
    </row>
    <row r="408" spans="7:10" x14ac:dyDescent="0.3">
      <c r="G408" s="28"/>
      <c r="H408" s="28"/>
      <c r="I408" s="28"/>
      <c r="J408" s="31"/>
    </row>
    <row r="409" spans="7:10" x14ac:dyDescent="0.3">
      <c r="G409" s="28"/>
      <c r="H409" s="28"/>
      <c r="I409" s="28"/>
      <c r="J409" s="31"/>
    </row>
    <row r="410" spans="7:10" x14ac:dyDescent="0.3">
      <c r="G410" s="28"/>
      <c r="H410" s="28"/>
      <c r="I410" s="28"/>
      <c r="J410" s="31"/>
    </row>
    <row r="411" spans="7:10" x14ac:dyDescent="0.3">
      <c r="G411" s="28"/>
      <c r="H411" s="28"/>
      <c r="I411" s="28"/>
      <c r="J411" s="31"/>
    </row>
    <row r="412" spans="7:10" x14ac:dyDescent="0.3">
      <c r="G412" s="28"/>
      <c r="H412" s="28"/>
      <c r="I412" s="28"/>
      <c r="J412" s="31"/>
    </row>
    <row r="413" spans="7:10" x14ac:dyDescent="0.3">
      <c r="G413" s="28"/>
      <c r="H413" s="28"/>
      <c r="I413" s="28"/>
      <c r="J413" s="31"/>
    </row>
    <row r="414" spans="7:10" x14ac:dyDescent="0.3">
      <c r="G414" s="28"/>
      <c r="H414" s="28"/>
      <c r="I414" s="28"/>
      <c r="J414" s="31"/>
    </row>
    <row r="415" spans="7:10" x14ac:dyDescent="0.3">
      <c r="G415" s="28"/>
      <c r="H415" s="28"/>
      <c r="I415" s="28"/>
      <c r="J415" s="31"/>
    </row>
    <row r="416" spans="7:10" x14ac:dyDescent="0.3">
      <c r="G416" s="28"/>
      <c r="H416" s="28"/>
      <c r="I416" s="28"/>
      <c r="J416" s="31"/>
    </row>
    <row r="417" spans="7:10" x14ac:dyDescent="0.3">
      <c r="G417" s="28"/>
      <c r="H417" s="28"/>
      <c r="I417" s="28"/>
      <c r="J417" s="31"/>
    </row>
    <row r="418" spans="7:10" x14ac:dyDescent="0.3">
      <c r="G418" s="28"/>
      <c r="H418" s="28"/>
      <c r="I418" s="28"/>
      <c r="J418" s="31"/>
    </row>
    <row r="419" spans="7:10" x14ac:dyDescent="0.3">
      <c r="G419" s="28"/>
      <c r="H419" s="28"/>
      <c r="I419" s="28"/>
      <c r="J419" s="31"/>
    </row>
    <row r="420" spans="7:10" x14ac:dyDescent="0.3">
      <c r="G420" s="28"/>
      <c r="H420" s="28"/>
      <c r="I420" s="28"/>
      <c r="J420" s="31"/>
    </row>
    <row r="421" spans="7:10" x14ac:dyDescent="0.3">
      <c r="G421" s="28"/>
      <c r="H421" s="28"/>
      <c r="I421" s="28"/>
      <c r="J421" s="31"/>
    </row>
    <row r="422" spans="7:10" x14ac:dyDescent="0.3">
      <c r="G422" s="28"/>
      <c r="H422" s="28"/>
      <c r="I422" s="28"/>
      <c r="J422" s="31"/>
    </row>
    <row r="423" spans="7:10" x14ac:dyDescent="0.3">
      <c r="G423" s="28"/>
      <c r="H423" s="28"/>
      <c r="I423" s="28"/>
      <c r="J423" s="31"/>
    </row>
    <row r="424" spans="7:10" x14ac:dyDescent="0.3">
      <c r="G424" s="28"/>
      <c r="H424" s="28"/>
      <c r="I424" s="28"/>
      <c r="J424" s="31"/>
    </row>
    <row r="425" spans="7:10" x14ac:dyDescent="0.3">
      <c r="G425" s="28"/>
      <c r="H425" s="28"/>
      <c r="I425" s="28"/>
      <c r="J425" s="31"/>
    </row>
    <row r="426" spans="7:10" x14ac:dyDescent="0.3">
      <c r="G426" s="28"/>
      <c r="H426" s="28"/>
      <c r="I426" s="28"/>
      <c r="J426" s="31"/>
    </row>
    <row r="427" spans="7:10" x14ac:dyDescent="0.3">
      <c r="G427" s="28"/>
      <c r="H427" s="28"/>
      <c r="I427" s="28"/>
      <c r="J427" s="31"/>
    </row>
    <row r="428" spans="7:10" x14ac:dyDescent="0.3">
      <c r="G428" s="28"/>
      <c r="H428" s="28"/>
      <c r="I428" s="28"/>
      <c r="J428" s="31"/>
    </row>
    <row r="429" spans="7:10" x14ac:dyDescent="0.3">
      <c r="G429" s="28"/>
      <c r="H429" s="28"/>
      <c r="I429" s="28"/>
      <c r="J429" s="31"/>
    </row>
    <row r="430" spans="7:10" x14ac:dyDescent="0.3">
      <c r="G430" s="28"/>
      <c r="H430" s="28"/>
      <c r="I430" s="28"/>
      <c r="J430" s="31"/>
    </row>
    <row r="431" spans="7:10" x14ac:dyDescent="0.3">
      <c r="G431" s="28"/>
      <c r="H431" s="28"/>
      <c r="I431" s="28"/>
      <c r="J431" s="31"/>
    </row>
    <row r="432" spans="7:10" x14ac:dyDescent="0.3">
      <c r="G432" s="28"/>
      <c r="H432" s="28"/>
      <c r="I432" s="28"/>
      <c r="J432" s="31"/>
    </row>
    <row r="433" spans="7:10" x14ac:dyDescent="0.3">
      <c r="G433" s="28"/>
      <c r="H433" s="28"/>
      <c r="I433" s="28"/>
      <c r="J433" s="31"/>
    </row>
    <row r="434" spans="7:10" x14ac:dyDescent="0.3">
      <c r="G434" s="28"/>
      <c r="H434" s="28"/>
      <c r="I434" s="28"/>
      <c r="J434" s="31"/>
    </row>
    <row r="435" spans="7:10" x14ac:dyDescent="0.3">
      <c r="G435" s="28"/>
      <c r="H435" s="28"/>
      <c r="I435" s="28"/>
      <c r="J435" s="31"/>
    </row>
    <row r="436" spans="7:10" x14ac:dyDescent="0.3">
      <c r="G436" s="28"/>
      <c r="H436" s="28"/>
      <c r="I436" s="28"/>
      <c r="J436" s="31"/>
    </row>
    <row r="437" spans="7:10" x14ac:dyDescent="0.3">
      <c r="G437" s="28"/>
      <c r="H437" s="28"/>
      <c r="I437" s="28"/>
      <c r="J437" s="31"/>
    </row>
    <row r="438" spans="7:10" x14ac:dyDescent="0.3">
      <c r="G438" s="28"/>
      <c r="H438" s="28"/>
      <c r="I438" s="28"/>
      <c r="J438" s="31"/>
    </row>
    <row r="439" spans="7:10" x14ac:dyDescent="0.3">
      <c r="G439" s="28"/>
      <c r="H439" s="28"/>
      <c r="I439" s="28"/>
      <c r="J439" s="31"/>
    </row>
    <row r="440" spans="7:10" x14ac:dyDescent="0.3">
      <c r="G440" s="28"/>
      <c r="H440" s="28"/>
      <c r="I440" s="28"/>
      <c r="J440" s="31"/>
    </row>
    <row r="441" spans="7:10" x14ac:dyDescent="0.3">
      <c r="G441" s="28"/>
      <c r="H441" s="28"/>
      <c r="I441" s="28"/>
      <c r="J441" s="31"/>
    </row>
    <row r="442" spans="7:10" x14ac:dyDescent="0.3">
      <c r="G442" s="28"/>
      <c r="H442" s="28"/>
      <c r="I442" s="28"/>
      <c r="J442" s="31"/>
    </row>
    <row r="443" spans="7:10" x14ac:dyDescent="0.3">
      <c r="G443" s="28"/>
      <c r="H443" s="28"/>
      <c r="I443" s="28"/>
      <c r="J443" s="31"/>
    </row>
    <row r="444" spans="7:10" x14ac:dyDescent="0.3">
      <c r="G444" s="28"/>
      <c r="H444" s="28"/>
      <c r="I444" s="28"/>
      <c r="J444" s="31"/>
    </row>
    <row r="445" spans="7:10" x14ac:dyDescent="0.3">
      <c r="G445" s="28"/>
      <c r="H445" s="28"/>
      <c r="I445" s="28"/>
      <c r="J445" s="31"/>
    </row>
    <row r="446" spans="7:10" x14ac:dyDescent="0.3">
      <c r="G446" s="28"/>
      <c r="H446" s="28"/>
      <c r="I446" s="28"/>
      <c r="J446" s="31"/>
    </row>
    <row r="447" spans="7:10" x14ac:dyDescent="0.3">
      <c r="G447" s="28"/>
      <c r="H447" s="28"/>
      <c r="I447" s="28"/>
      <c r="J447" s="31"/>
    </row>
    <row r="448" spans="7:10" x14ac:dyDescent="0.3">
      <c r="G448" s="28"/>
      <c r="H448" s="28"/>
      <c r="I448" s="28"/>
      <c r="J448" s="31"/>
    </row>
    <row r="449" spans="7:10" x14ac:dyDescent="0.3">
      <c r="G449" s="28"/>
      <c r="H449" s="28"/>
      <c r="I449" s="28"/>
      <c r="J449" s="31"/>
    </row>
    <row r="450" spans="7:10" x14ac:dyDescent="0.3">
      <c r="G450" s="28"/>
      <c r="H450" s="28"/>
      <c r="I450" s="28"/>
      <c r="J450" s="31"/>
    </row>
    <row r="451" spans="7:10" x14ac:dyDescent="0.3">
      <c r="G451" s="28"/>
      <c r="H451" s="28"/>
      <c r="I451" s="28"/>
      <c r="J451" s="31"/>
    </row>
    <row r="452" spans="7:10" x14ac:dyDescent="0.3">
      <c r="G452" s="28"/>
      <c r="H452" s="28"/>
      <c r="I452" s="28"/>
      <c r="J452" s="31"/>
    </row>
    <row r="453" spans="7:10" x14ac:dyDescent="0.3">
      <c r="G453" s="28"/>
      <c r="H453" s="28"/>
      <c r="I453" s="28"/>
      <c r="J453" s="31"/>
    </row>
    <row r="454" spans="7:10" x14ac:dyDescent="0.3">
      <c r="G454" s="28"/>
      <c r="H454" s="28"/>
      <c r="I454" s="28"/>
      <c r="J454" s="31"/>
    </row>
    <row r="455" spans="7:10" x14ac:dyDescent="0.3">
      <c r="G455" s="28"/>
      <c r="H455" s="28"/>
      <c r="I455" s="28"/>
      <c r="J455" s="31"/>
    </row>
    <row r="456" spans="7:10" x14ac:dyDescent="0.3">
      <c r="G456" s="28"/>
      <c r="H456" s="28"/>
      <c r="I456" s="28"/>
      <c r="J456" s="31"/>
    </row>
    <row r="457" spans="7:10" x14ac:dyDescent="0.3">
      <c r="G457" s="28"/>
      <c r="H457" s="28"/>
      <c r="I457" s="28"/>
      <c r="J457" s="31"/>
    </row>
    <row r="458" spans="7:10" x14ac:dyDescent="0.3">
      <c r="G458" s="28"/>
      <c r="H458" s="28"/>
      <c r="I458" s="28"/>
      <c r="J458" s="31"/>
    </row>
    <row r="459" spans="7:10" x14ac:dyDescent="0.3">
      <c r="G459" s="28"/>
      <c r="H459" s="28"/>
      <c r="I459" s="28"/>
      <c r="J459" s="31"/>
    </row>
    <row r="460" spans="7:10" x14ac:dyDescent="0.3">
      <c r="G460" s="28"/>
      <c r="H460" s="28"/>
      <c r="I460" s="28"/>
      <c r="J460" s="31"/>
    </row>
    <row r="461" spans="7:10" x14ac:dyDescent="0.3">
      <c r="G461" s="28"/>
      <c r="H461" s="28"/>
      <c r="I461" s="28"/>
      <c r="J461" s="31"/>
    </row>
    <row r="462" spans="7:10" x14ac:dyDescent="0.3">
      <c r="G462" s="28"/>
      <c r="H462" s="28"/>
      <c r="I462" s="28"/>
      <c r="J462" s="31"/>
    </row>
    <row r="463" spans="7:10" x14ac:dyDescent="0.3">
      <c r="G463" s="28"/>
      <c r="H463" s="28"/>
      <c r="I463" s="28"/>
      <c r="J463" s="31"/>
    </row>
    <row r="464" spans="7:10" x14ac:dyDescent="0.3">
      <c r="G464" s="28"/>
      <c r="H464" s="28"/>
      <c r="I464" s="28"/>
      <c r="J464" s="31"/>
    </row>
    <row r="465" spans="7:10" x14ac:dyDescent="0.3">
      <c r="G465" s="28"/>
      <c r="H465" s="28"/>
      <c r="I465" s="28"/>
      <c r="J465" s="31"/>
    </row>
    <row r="466" spans="7:10" x14ac:dyDescent="0.3">
      <c r="G466" s="28"/>
      <c r="H466" s="28"/>
      <c r="I466" s="28"/>
      <c r="J466" s="31"/>
    </row>
    <row r="467" spans="7:10" x14ac:dyDescent="0.3">
      <c r="G467" s="28"/>
      <c r="H467" s="28"/>
      <c r="I467" s="28"/>
      <c r="J467" s="31"/>
    </row>
    <row r="468" spans="7:10" x14ac:dyDescent="0.3">
      <c r="G468" s="28"/>
      <c r="H468" s="28"/>
      <c r="I468" s="28"/>
      <c r="J468" s="31"/>
    </row>
    <row r="469" spans="7:10" x14ac:dyDescent="0.3">
      <c r="G469" s="28"/>
      <c r="H469" s="28"/>
      <c r="I469" s="28"/>
      <c r="J469" s="31"/>
    </row>
    <row r="470" spans="7:10" x14ac:dyDescent="0.3">
      <c r="G470" s="28"/>
      <c r="H470" s="28"/>
      <c r="I470" s="28"/>
      <c r="J470" s="31"/>
    </row>
    <row r="471" spans="7:10" x14ac:dyDescent="0.3">
      <c r="G471" s="28"/>
      <c r="H471" s="28"/>
      <c r="I471" s="28"/>
      <c r="J471" s="31"/>
    </row>
    <row r="472" spans="7:10" x14ac:dyDescent="0.3">
      <c r="G472" s="28"/>
      <c r="H472" s="28"/>
      <c r="I472" s="28"/>
      <c r="J472" s="31"/>
    </row>
    <row r="473" spans="7:10" x14ac:dyDescent="0.3">
      <c r="G473" s="28"/>
      <c r="H473" s="28"/>
      <c r="I473" s="28"/>
      <c r="J473" s="31"/>
    </row>
    <row r="474" spans="7:10" x14ac:dyDescent="0.3">
      <c r="G474" s="28"/>
      <c r="H474" s="28"/>
      <c r="I474" s="28"/>
      <c r="J474" s="31"/>
    </row>
    <row r="475" spans="7:10" x14ac:dyDescent="0.3">
      <c r="G475" s="28"/>
      <c r="H475" s="28"/>
      <c r="I475" s="28"/>
      <c r="J475" s="31"/>
    </row>
    <row r="476" spans="7:10" x14ac:dyDescent="0.3">
      <c r="G476" s="28"/>
      <c r="H476" s="28"/>
      <c r="I476" s="28"/>
      <c r="J476" s="31"/>
    </row>
    <row r="477" spans="7:10" x14ac:dyDescent="0.3">
      <c r="G477" s="28"/>
      <c r="H477" s="28"/>
      <c r="I477" s="28"/>
      <c r="J477" s="31"/>
    </row>
    <row r="478" spans="7:10" x14ac:dyDescent="0.3">
      <c r="G478" s="28"/>
      <c r="H478" s="28"/>
      <c r="I478" s="28"/>
      <c r="J478" s="31"/>
    </row>
    <row r="479" spans="7:10" x14ac:dyDescent="0.3">
      <c r="G479" s="28"/>
      <c r="H479" s="28"/>
      <c r="I479" s="28"/>
      <c r="J479" s="31"/>
    </row>
    <row r="480" spans="7:10" x14ac:dyDescent="0.3">
      <c r="G480" s="28"/>
      <c r="H480" s="28"/>
      <c r="I480" s="28"/>
      <c r="J480" s="31"/>
    </row>
    <row r="481" spans="7:10" x14ac:dyDescent="0.3">
      <c r="G481" s="28"/>
      <c r="H481" s="28"/>
      <c r="I481" s="28"/>
      <c r="J481" s="31"/>
    </row>
    <row r="482" spans="7:10" x14ac:dyDescent="0.3">
      <c r="G482" s="28"/>
      <c r="H482" s="28"/>
      <c r="I482" s="28"/>
      <c r="J482" s="31"/>
    </row>
    <row r="483" spans="7:10" x14ac:dyDescent="0.3">
      <c r="G483" s="28"/>
      <c r="H483" s="28"/>
      <c r="I483" s="28"/>
      <c r="J483" s="31"/>
    </row>
    <row r="484" spans="7:10" x14ac:dyDescent="0.3">
      <c r="G484" s="28"/>
      <c r="H484" s="28"/>
      <c r="I484" s="28"/>
      <c r="J484" s="31"/>
    </row>
    <row r="485" spans="7:10" x14ac:dyDescent="0.3">
      <c r="G485" s="28"/>
      <c r="H485" s="28"/>
      <c r="I485" s="28"/>
      <c r="J485" s="31"/>
    </row>
    <row r="486" spans="7:10" x14ac:dyDescent="0.3">
      <c r="G486" s="28"/>
      <c r="H486" s="28"/>
      <c r="I486" s="28"/>
      <c r="J486" s="31"/>
    </row>
    <row r="487" spans="7:10" x14ac:dyDescent="0.3">
      <c r="G487" s="28"/>
      <c r="H487" s="28"/>
      <c r="I487" s="28"/>
      <c r="J487" s="31"/>
    </row>
    <row r="488" spans="7:10" x14ac:dyDescent="0.3">
      <c r="G488" s="28"/>
      <c r="H488" s="28"/>
      <c r="I488" s="28"/>
      <c r="J488" s="31"/>
    </row>
    <row r="489" spans="7:10" x14ac:dyDescent="0.3">
      <c r="G489" s="28"/>
      <c r="H489" s="28"/>
      <c r="I489" s="28"/>
      <c r="J489" s="31"/>
    </row>
    <row r="490" spans="7:10" x14ac:dyDescent="0.3">
      <c r="G490" s="28"/>
      <c r="H490" s="28"/>
      <c r="I490" s="28"/>
      <c r="J490" s="31"/>
    </row>
    <row r="491" spans="7:10" x14ac:dyDescent="0.3">
      <c r="G491" s="28"/>
      <c r="H491" s="28"/>
      <c r="I491" s="28"/>
      <c r="J491" s="31"/>
    </row>
    <row r="492" spans="7:10" x14ac:dyDescent="0.3">
      <c r="G492" s="28"/>
      <c r="H492" s="28"/>
      <c r="I492" s="28"/>
      <c r="J492" s="31"/>
    </row>
    <row r="493" spans="7:10" x14ac:dyDescent="0.3">
      <c r="G493" s="28"/>
      <c r="H493" s="28"/>
      <c r="I493" s="28"/>
      <c r="J493" s="31"/>
    </row>
    <row r="494" spans="7:10" x14ac:dyDescent="0.3">
      <c r="G494" s="28"/>
      <c r="H494" s="28"/>
      <c r="I494" s="28"/>
      <c r="J494" s="31"/>
    </row>
    <row r="495" spans="7:10" x14ac:dyDescent="0.3">
      <c r="G495" s="28"/>
      <c r="H495" s="28"/>
      <c r="I495" s="28"/>
      <c r="J495" s="31"/>
    </row>
    <row r="496" spans="7:10" x14ac:dyDescent="0.3">
      <c r="G496" s="28"/>
      <c r="H496" s="28"/>
      <c r="I496" s="28"/>
      <c r="J496" s="31"/>
    </row>
    <row r="497" spans="7:10" x14ac:dyDescent="0.3">
      <c r="G497" s="28"/>
      <c r="H497" s="28"/>
      <c r="I497" s="28"/>
      <c r="J497" s="31"/>
    </row>
    <row r="498" spans="7:10" x14ac:dyDescent="0.3">
      <c r="G498" s="28"/>
      <c r="H498" s="28"/>
      <c r="I498" s="28"/>
      <c r="J498" s="31"/>
    </row>
    <row r="499" spans="7:10" x14ac:dyDescent="0.3">
      <c r="G499" s="28"/>
      <c r="H499" s="28"/>
      <c r="I499" s="28"/>
      <c r="J499" s="31"/>
    </row>
    <row r="500" spans="7:10" x14ac:dyDescent="0.3">
      <c r="G500" s="28"/>
      <c r="H500" s="28"/>
      <c r="I500" s="28"/>
      <c r="J500" s="31"/>
    </row>
    <row r="501" spans="7:10" x14ac:dyDescent="0.3">
      <c r="G501" s="28"/>
      <c r="H501" s="28"/>
      <c r="I501" s="28"/>
      <c r="J501" s="31"/>
    </row>
    <row r="502" spans="7:10" x14ac:dyDescent="0.3">
      <c r="G502" s="28"/>
      <c r="H502" s="28"/>
      <c r="I502" s="28"/>
      <c r="J502" s="31"/>
    </row>
    <row r="503" spans="7:10" x14ac:dyDescent="0.3">
      <c r="G503" s="28"/>
      <c r="H503" s="28"/>
      <c r="I503" s="28"/>
      <c r="J503" s="31"/>
    </row>
    <row r="504" spans="7:10" x14ac:dyDescent="0.3">
      <c r="G504" s="28"/>
      <c r="H504" s="28"/>
      <c r="I504" s="28"/>
      <c r="J504" s="31"/>
    </row>
    <row r="505" spans="7:10" x14ac:dyDescent="0.3">
      <c r="G505" s="28"/>
      <c r="H505" s="28"/>
      <c r="I505" s="28"/>
      <c r="J505" s="31"/>
    </row>
    <row r="506" spans="7:10" x14ac:dyDescent="0.3">
      <c r="G506" s="28"/>
      <c r="H506" s="28"/>
      <c r="I506" s="28"/>
      <c r="J506" s="31"/>
    </row>
    <row r="507" spans="7:10" x14ac:dyDescent="0.3">
      <c r="G507" s="28"/>
      <c r="H507" s="28"/>
      <c r="I507" s="28"/>
      <c r="J507" s="31"/>
    </row>
    <row r="508" spans="7:10" x14ac:dyDescent="0.3">
      <c r="G508" s="28"/>
      <c r="H508" s="28"/>
      <c r="I508" s="28"/>
      <c r="J508" s="31"/>
    </row>
    <row r="509" spans="7:10" x14ac:dyDescent="0.3">
      <c r="G509" s="28"/>
      <c r="H509" s="28"/>
      <c r="I509" s="28"/>
      <c r="J509" s="31"/>
    </row>
    <row r="510" spans="7:10" x14ac:dyDescent="0.3">
      <c r="G510" s="28"/>
      <c r="H510" s="28"/>
      <c r="I510" s="28"/>
      <c r="J510" s="31"/>
    </row>
    <row r="511" spans="7:10" x14ac:dyDescent="0.3">
      <c r="G511" s="28"/>
      <c r="H511" s="28"/>
      <c r="I511" s="28"/>
      <c r="J511" s="31"/>
    </row>
    <row r="512" spans="7:10" x14ac:dyDescent="0.3">
      <c r="G512" s="28"/>
      <c r="H512" s="28"/>
      <c r="I512" s="28"/>
      <c r="J512" s="31"/>
    </row>
    <row r="513" spans="7:10" x14ac:dyDescent="0.3">
      <c r="G513" s="28"/>
      <c r="H513" s="28"/>
      <c r="I513" s="28"/>
      <c r="J513" s="31"/>
    </row>
    <row r="514" spans="7:10" x14ac:dyDescent="0.3">
      <c r="G514" s="28"/>
      <c r="H514" s="28"/>
      <c r="I514" s="28"/>
      <c r="J514" s="31"/>
    </row>
    <row r="515" spans="7:10" x14ac:dyDescent="0.3">
      <c r="G515" s="28"/>
      <c r="H515" s="28"/>
      <c r="I515" s="28"/>
      <c r="J515" s="31"/>
    </row>
    <row r="516" spans="7:10" x14ac:dyDescent="0.3">
      <c r="G516" s="28"/>
      <c r="H516" s="28"/>
      <c r="I516" s="28"/>
      <c r="J516" s="31"/>
    </row>
    <row r="517" spans="7:10" x14ac:dyDescent="0.3">
      <c r="G517" s="28"/>
      <c r="H517" s="28"/>
      <c r="I517" s="28"/>
      <c r="J517" s="31"/>
    </row>
    <row r="518" spans="7:10" x14ac:dyDescent="0.3">
      <c r="G518" s="28"/>
      <c r="H518" s="28"/>
      <c r="I518" s="28"/>
      <c r="J518" s="31"/>
    </row>
    <row r="519" spans="7:10" x14ac:dyDescent="0.3">
      <c r="G519" s="28"/>
      <c r="H519" s="28"/>
      <c r="I519" s="28"/>
      <c r="J519" s="31"/>
    </row>
    <row r="520" spans="7:10" x14ac:dyDescent="0.3">
      <c r="G520" s="28"/>
      <c r="H520" s="28"/>
      <c r="I520" s="28"/>
      <c r="J520" s="31"/>
    </row>
    <row r="521" spans="7:10" x14ac:dyDescent="0.3">
      <c r="G521" s="28"/>
      <c r="H521" s="28"/>
      <c r="I521" s="28"/>
      <c r="J521" s="31"/>
    </row>
    <row r="522" spans="7:10" x14ac:dyDescent="0.3">
      <c r="G522" s="28"/>
      <c r="H522" s="28"/>
      <c r="I522" s="28"/>
      <c r="J522" s="31"/>
    </row>
    <row r="523" spans="7:10" x14ac:dyDescent="0.3">
      <c r="G523" s="28"/>
      <c r="H523" s="28"/>
      <c r="I523" s="28"/>
      <c r="J523" s="31"/>
    </row>
    <row r="524" spans="7:10" x14ac:dyDescent="0.3">
      <c r="G524" s="28"/>
      <c r="H524" s="28"/>
      <c r="I524" s="28"/>
      <c r="J524" s="31"/>
    </row>
    <row r="525" spans="7:10" x14ac:dyDescent="0.3">
      <c r="G525" s="28"/>
      <c r="H525" s="28"/>
      <c r="I525" s="28"/>
      <c r="J525" s="31"/>
    </row>
    <row r="526" spans="7:10" x14ac:dyDescent="0.3">
      <c r="G526" s="28"/>
      <c r="H526" s="28"/>
      <c r="I526" s="28"/>
      <c r="J526" s="31"/>
    </row>
    <row r="527" spans="7:10" x14ac:dyDescent="0.3">
      <c r="G527" s="28"/>
      <c r="H527" s="28"/>
      <c r="I527" s="28"/>
      <c r="J527" s="31"/>
    </row>
    <row r="528" spans="7:10" x14ac:dyDescent="0.3">
      <c r="G528" s="28"/>
      <c r="H528" s="28"/>
      <c r="I528" s="28"/>
      <c r="J528" s="31"/>
    </row>
    <row r="529" spans="7:10" x14ac:dyDescent="0.3">
      <c r="G529" s="28"/>
      <c r="H529" s="28"/>
      <c r="I529" s="28"/>
      <c r="J529" s="31"/>
    </row>
    <row r="530" spans="7:10" x14ac:dyDescent="0.3">
      <c r="G530" s="28"/>
      <c r="H530" s="28"/>
      <c r="I530" s="28"/>
      <c r="J530" s="31"/>
    </row>
    <row r="531" spans="7:10" x14ac:dyDescent="0.3">
      <c r="G531" s="28"/>
      <c r="H531" s="28"/>
      <c r="I531" s="28"/>
      <c r="J531" s="31"/>
    </row>
    <row r="532" spans="7:10" x14ac:dyDescent="0.3">
      <c r="G532" s="28"/>
      <c r="H532" s="28"/>
      <c r="I532" s="28"/>
      <c r="J532" s="31"/>
    </row>
    <row r="533" spans="7:10" x14ac:dyDescent="0.3">
      <c r="G533" s="28"/>
      <c r="H533" s="28"/>
      <c r="I533" s="28"/>
      <c r="J533" s="31"/>
    </row>
    <row r="534" spans="7:10" x14ac:dyDescent="0.3">
      <c r="G534" s="28"/>
      <c r="H534" s="28"/>
      <c r="I534" s="28"/>
      <c r="J534" s="31"/>
    </row>
    <row r="535" spans="7:10" x14ac:dyDescent="0.3">
      <c r="G535" s="28"/>
      <c r="H535" s="28"/>
      <c r="I535" s="28"/>
      <c r="J535" s="31"/>
    </row>
    <row r="536" spans="7:10" x14ac:dyDescent="0.3">
      <c r="G536" s="28"/>
      <c r="H536" s="28"/>
      <c r="I536" s="28"/>
      <c r="J536" s="31"/>
    </row>
    <row r="537" spans="7:10" x14ac:dyDescent="0.3">
      <c r="G537" s="28"/>
      <c r="H537" s="28"/>
      <c r="I537" s="28"/>
      <c r="J537" s="31"/>
    </row>
    <row r="538" spans="7:10" x14ac:dyDescent="0.3">
      <c r="G538" s="28"/>
      <c r="H538" s="28"/>
      <c r="I538" s="28"/>
      <c r="J538" s="31"/>
    </row>
    <row r="539" spans="7:10" x14ac:dyDescent="0.3">
      <c r="G539" s="28"/>
      <c r="H539" s="28"/>
      <c r="I539" s="28"/>
      <c r="J539" s="31"/>
    </row>
    <row r="540" spans="7:10" x14ac:dyDescent="0.3">
      <c r="G540" s="28"/>
      <c r="H540" s="28"/>
      <c r="I540" s="28"/>
      <c r="J540" s="31"/>
    </row>
    <row r="541" spans="7:10" x14ac:dyDescent="0.3">
      <c r="G541" s="28"/>
      <c r="H541" s="28"/>
      <c r="I541" s="28"/>
      <c r="J541" s="31"/>
    </row>
    <row r="542" spans="7:10" x14ac:dyDescent="0.3">
      <c r="G542" s="28"/>
      <c r="H542" s="28"/>
      <c r="I542" s="28"/>
      <c r="J542" s="31"/>
    </row>
    <row r="543" spans="7:10" x14ac:dyDescent="0.3">
      <c r="G543" s="28"/>
      <c r="H543" s="28"/>
      <c r="I543" s="28"/>
      <c r="J543" s="31"/>
    </row>
    <row r="544" spans="7:10" x14ac:dyDescent="0.3">
      <c r="G544" s="28"/>
      <c r="H544" s="28"/>
      <c r="I544" s="28"/>
      <c r="J544" s="31"/>
    </row>
    <row r="545" spans="7:10" x14ac:dyDescent="0.3">
      <c r="G545" s="28"/>
      <c r="H545" s="28"/>
      <c r="I545" s="28"/>
      <c r="J545" s="31"/>
    </row>
    <row r="546" spans="7:10" x14ac:dyDescent="0.3">
      <c r="G546" s="28"/>
      <c r="H546" s="28"/>
      <c r="I546" s="28"/>
      <c r="J546" s="31"/>
    </row>
    <row r="547" spans="7:10" x14ac:dyDescent="0.3">
      <c r="G547" s="28"/>
      <c r="H547" s="28"/>
      <c r="I547" s="28"/>
      <c r="J547" s="31"/>
    </row>
    <row r="548" spans="7:10" x14ac:dyDescent="0.3">
      <c r="G548" s="28"/>
      <c r="H548" s="28"/>
      <c r="I548" s="28"/>
      <c r="J548" s="31"/>
    </row>
    <row r="549" spans="7:10" x14ac:dyDescent="0.3">
      <c r="G549" s="28"/>
      <c r="H549" s="28"/>
      <c r="I549" s="28"/>
      <c r="J549" s="31"/>
    </row>
    <row r="550" spans="7:10" x14ac:dyDescent="0.3">
      <c r="G550" s="28"/>
      <c r="H550" s="28"/>
      <c r="I550" s="28"/>
      <c r="J550" s="31"/>
    </row>
    <row r="551" spans="7:10" x14ac:dyDescent="0.3">
      <c r="G551" s="28"/>
      <c r="H551" s="28"/>
      <c r="I551" s="28"/>
      <c r="J551" s="31"/>
    </row>
    <row r="552" spans="7:10" x14ac:dyDescent="0.3">
      <c r="G552" s="28"/>
      <c r="H552" s="28"/>
      <c r="I552" s="28"/>
      <c r="J552" s="31"/>
    </row>
    <row r="553" spans="7:10" x14ac:dyDescent="0.3">
      <c r="G553" s="28"/>
      <c r="H553" s="28"/>
      <c r="I553" s="28"/>
      <c r="J553" s="31"/>
    </row>
    <row r="554" spans="7:10" x14ac:dyDescent="0.3">
      <c r="G554" s="28"/>
      <c r="H554" s="28"/>
      <c r="I554" s="28"/>
      <c r="J554" s="31"/>
    </row>
    <row r="555" spans="7:10" x14ac:dyDescent="0.3">
      <c r="G555" s="28"/>
      <c r="H555" s="28"/>
      <c r="I555" s="28"/>
      <c r="J555" s="31"/>
    </row>
    <row r="556" spans="7:10" x14ac:dyDescent="0.3">
      <c r="G556" s="28"/>
      <c r="H556" s="28"/>
      <c r="I556" s="28"/>
      <c r="J556" s="31"/>
    </row>
    <row r="557" spans="7:10" x14ac:dyDescent="0.3">
      <c r="G557" s="28"/>
      <c r="H557" s="28"/>
      <c r="I557" s="28"/>
      <c r="J557" s="31"/>
    </row>
    <row r="558" spans="7:10" x14ac:dyDescent="0.3">
      <c r="G558" s="28"/>
      <c r="H558" s="28"/>
      <c r="I558" s="28"/>
      <c r="J558" s="31"/>
    </row>
    <row r="559" spans="7:10" x14ac:dyDescent="0.3">
      <c r="G559" s="28"/>
      <c r="H559" s="28"/>
      <c r="I559" s="28"/>
      <c r="J559" s="31"/>
    </row>
    <row r="560" spans="7:10" x14ac:dyDescent="0.3">
      <c r="G560" s="28"/>
      <c r="H560" s="28"/>
      <c r="I560" s="28"/>
      <c r="J560" s="31"/>
    </row>
    <row r="561" spans="7:10" x14ac:dyDescent="0.3">
      <c r="G561" s="28"/>
      <c r="H561" s="28"/>
      <c r="I561" s="28"/>
      <c r="J561" s="31"/>
    </row>
    <row r="562" spans="7:10" x14ac:dyDescent="0.3">
      <c r="G562" s="28"/>
      <c r="H562" s="28"/>
      <c r="I562" s="28"/>
      <c r="J562" s="31"/>
    </row>
    <row r="563" spans="7:10" x14ac:dyDescent="0.3">
      <c r="G563" s="28"/>
      <c r="H563" s="28"/>
      <c r="I563" s="28"/>
      <c r="J563" s="31"/>
    </row>
    <row r="564" spans="7:10" x14ac:dyDescent="0.3">
      <c r="G564" s="28"/>
      <c r="H564" s="28"/>
      <c r="I564" s="28"/>
      <c r="J564" s="31"/>
    </row>
    <row r="565" spans="7:10" x14ac:dyDescent="0.3">
      <c r="G565" s="28"/>
      <c r="H565" s="28"/>
      <c r="I565" s="28"/>
      <c r="J565" s="31"/>
    </row>
    <row r="566" spans="7:10" x14ac:dyDescent="0.3">
      <c r="G566" s="28"/>
      <c r="H566" s="28"/>
      <c r="I566" s="28"/>
      <c r="J566" s="31"/>
    </row>
    <row r="567" spans="7:10" x14ac:dyDescent="0.3">
      <c r="G567" s="28"/>
      <c r="H567" s="28"/>
      <c r="I567" s="28"/>
      <c r="J567" s="31"/>
    </row>
    <row r="568" spans="7:10" x14ac:dyDescent="0.3">
      <c r="G568" s="28"/>
      <c r="H568" s="28"/>
      <c r="I568" s="28"/>
      <c r="J568" s="31"/>
    </row>
    <row r="569" spans="7:10" x14ac:dyDescent="0.3">
      <c r="G569" s="28"/>
      <c r="H569" s="28"/>
      <c r="I569" s="28"/>
      <c r="J569" s="31"/>
    </row>
    <row r="570" spans="7:10" x14ac:dyDescent="0.3">
      <c r="G570" s="28"/>
      <c r="H570" s="28"/>
      <c r="I570" s="28"/>
      <c r="J570" s="31"/>
    </row>
    <row r="571" spans="7:10" x14ac:dyDescent="0.3">
      <c r="G571" s="28"/>
      <c r="H571" s="28"/>
      <c r="I571" s="28"/>
      <c r="J571" s="31"/>
    </row>
    <row r="572" spans="7:10" x14ac:dyDescent="0.3">
      <c r="G572" s="28"/>
      <c r="H572" s="28"/>
      <c r="I572" s="28"/>
      <c r="J572" s="31"/>
    </row>
    <row r="573" spans="7:10" x14ac:dyDescent="0.3">
      <c r="G573" s="28"/>
      <c r="H573" s="28"/>
      <c r="I573" s="28"/>
      <c r="J573" s="31"/>
    </row>
    <row r="574" spans="7:10" x14ac:dyDescent="0.3">
      <c r="G574" s="28"/>
      <c r="H574" s="28"/>
      <c r="I574" s="28"/>
      <c r="J574" s="31"/>
    </row>
    <row r="575" spans="7:10" x14ac:dyDescent="0.3">
      <c r="G575" s="28"/>
      <c r="H575" s="28"/>
      <c r="I575" s="28"/>
      <c r="J575" s="31"/>
    </row>
    <row r="576" spans="7:10" x14ac:dyDescent="0.3">
      <c r="G576" s="28"/>
      <c r="H576" s="28"/>
      <c r="I576" s="28"/>
      <c r="J576" s="31"/>
    </row>
    <row r="577" spans="7:10" x14ac:dyDescent="0.3">
      <c r="G577" s="28"/>
      <c r="H577" s="28"/>
      <c r="I577" s="28"/>
      <c r="J577" s="31"/>
    </row>
    <row r="578" spans="7:10" x14ac:dyDescent="0.3">
      <c r="G578" s="28"/>
      <c r="H578" s="28"/>
      <c r="I578" s="28"/>
      <c r="J578" s="31"/>
    </row>
    <row r="579" spans="7:10" x14ac:dyDescent="0.3">
      <c r="G579" s="28"/>
      <c r="H579" s="28"/>
      <c r="I579" s="28"/>
      <c r="J579" s="31"/>
    </row>
    <row r="580" spans="7:10" x14ac:dyDescent="0.3">
      <c r="G580" s="28"/>
      <c r="H580" s="28"/>
      <c r="I580" s="28"/>
      <c r="J580" s="31"/>
    </row>
    <row r="581" spans="7:10" x14ac:dyDescent="0.3">
      <c r="G581" s="28"/>
      <c r="H581" s="28"/>
      <c r="I581" s="28"/>
      <c r="J581" s="31"/>
    </row>
    <row r="582" spans="7:10" x14ac:dyDescent="0.3">
      <c r="G582" s="28"/>
      <c r="H582" s="28"/>
      <c r="I582" s="28"/>
      <c r="J582" s="31"/>
    </row>
    <row r="583" spans="7:10" x14ac:dyDescent="0.3">
      <c r="G583" s="28"/>
      <c r="H583" s="28"/>
      <c r="I583" s="28"/>
      <c r="J583" s="31"/>
    </row>
    <row r="584" spans="7:10" x14ac:dyDescent="0.3">
      <c r="G584" s="28"/>
      <c r="H584" s="28"/>
      <c r="I584" s="28"/>
      <c r="J584" s="31"/>
    </row>
    <row r="585" spans="7:10" x14ac:dyDescent="0.3">
      <c r="G585" s="28"/>
      <c r="H585" s="28"/>
      <c r="I585" s="28"/>
      <c r="J585" s="31"/>
    </row>
    <row r="586" spans="7:10" x14ac:dyDescent="0.3">
      <c r="G586" s="28"/>
      <c r="H586" s="28"/>
      <c r="I586" s="28"/>
      <c r="J586" s="31"/>
    </row>
    <row r="587" spans="7:10" x14ac:dyDescent="0.3">
      <c r="G587" s="28"/>
      <c r="H587" s="28"/>
      <c r="I587" s="28"/>
      <c r="J587" s="31"/>
    </row>
    <row r="588" spans="7:10" x14ac:dyDescent="0.3">
      <c r="G588" s="28"/>
      <c r="H588" s="28"/>
      <c r="I588" s="28"/>
      <c r="J588" s="31"/>
    </row>
    <row r="589" spans="7:10" x14ac:dyDescent="0.3">
      <c r="G589" s="28"/>
      <c r="H589" s="28"/>
      <c r="I589" s="28"/>
      <c r="J589" s="31"/>
    </row>
    <row r="590" spans="7:10" x14ac:dyDescent="0.3">
      <c r="G590" s="28"/>
      <c r="H590" s="28"/>
      <c r="I590" s="28"/>
      <c r="J590" s="31"/>
    </row>
    <row r="591" spans="7:10" x14ac:dyDescent="0.3">
      <c r="G591" s="28"/>
      <c r="H591" s="28"/>
      <c r="I591" s="28"/>
      <c r="J591" s="31"/>
    </row>
    <row r="592" spans="7:10" x14ac:dyDescent="0.3">
      <c r="G592" s="28"/>
      <c r="H592" s="28"/>
      <c r="I592" s="28"/>
      <c r="J592" s="31"/>
    </row>
    <row r="593" spans="7:10" x14ac:dyDescent="0.3">
      <c r="G593" s="28"/>
      <c r="H593" s="28"/>
      <c r="I593" s="28"/>
      <c r="J593" s="31"/>
    </row>
    <row r="594" spans="7:10" x14ac:dyDescent="0.3">
      <c r="G594" s="28"/>
      <c r="H594" s="28"/>
      <c r="I594" s="28"/>
      <c r="J594" s="31"/>
    </row>
    <row r="595" spans="7:10" x14ac:dyDescent="0.3">
      <c r="G595" s="28"/>
      <c r="H595" s="28"/>
      <c r="I595" s="28"/>
      <c r="J595" s="31"/>
    </row>
    <row r="596" spans="7:10" x14ac:dyDescent="0.3">
      <c r="G596" s="28"/>
      <c r="H596" s="28"/>
      <c r="I596" s="28"/>
      <c r="J596" s="31"/>
    </row>
    <row r="597" spans="7:10" x14ac:dyDescent="0.3">
      <c r="G597" s="28"/>
      <c r="H597" s="28"/>
      <c r="I597" s="28"/>
      <c r="J597" s="31"/>
    </row>
    <row r="598" spans="7:10" x14ac:dyDescent="0.3">
      <c r="G598" s="28"/>
      <c r="H598" s="28"/>
      <c r="I598" s="28"/>
      <c r="J598" s="31"/>
    </row>
    <row r="599" spans="7:10" x14ac:dyDescent="0.3">
      <c r="G599" s="28"/>
      <c r="H599" s="28"/>
      <c r="I599" s="28"/>
      <c r="J599" s="31"/>
    </row>
    <row r="600" spans="7:10" x14ac:dyDescent="0.3">
      <c r="G600" s="28"/>
      <c r="H600" s="28"/>
      <c r="I600" s="28"/>
      <c r="J600" s="31"/>
    </row>
    <row r="601" spans="7:10" x14ac:dyDescent="0.3">
      <c r="G601" s="28"/>
      <c r="H601" s="28"/>
      <c r="I601" s="28"/>
      <c r="J601" s="31"/>
    </row>
    <row r="602" spans="7:10" x14ac:dyDescent="0.3">
      <c r="G602" s="28"/>
      <c r="H602" s="28"/>
      <c r="I602" s="28"/>
      <c r="J602" s="31"/>
    </row>
    <row r="603" spans="7:10" x14ac:dyDescent="0.3">
      <c r="G603" s="28"/>
      <c r="H603" s="28"/>
      <c r="I603" s="28"/>
      <c r="J603" s="31"/>
    </row>
    <row r="604" spans="7:10" x14ac:dyDescent="0.3">
      <c r="G604" s="28"/>
      <c r="H604" s="28"/>
      <c r="I604" s="28"/>
      <c r="J604" s="31"/>
    </row>
    <row r="605" spans="7:10" x14ac:dyDescent="0.3">
      <c r="G605" s="28"/>
      <c r="H605" s="28"/>
      <c r="I605" s="28"/>
      <c r="J605" s="31"/>
    </row>
    <row r="606" spans="7:10" x14ac:dyDescent="0.3">
      <c r="G606" s="28"/>
      <c r="H606" s="28"/>
      <c r="I606" s="28"/>
      <c r="J606" s="31"/>
    </row>
    <row r="607" spans="7:10" x14ac:dyDescent="0.3">
      <c r="G607" s="28"/>
      <c r="H607" s="28"/>
      <c r="I607" s="28"/>
      <c r="J607" s="31"/>
    </row>
    <row r="608" spans="7:10" x14ac:dyDescent="0.3">
      <c r="G608" s="28"/>
      <c r="H608" s="28"/>
      <c r="I608" s="28"/>
      <c r="J608" s="31"/>
    </row>
    <row r="609" spans="7:10" x14ac:dyDescent="0.3">
      <c r="G609" s="28"/>
      <c r="H609" s="28"/>
      <c r="I609" s="28"/>
      <c r="J609" s="31"/>
    </row>
    <row r="610" spans="7:10" x14ac:dyDescent="0.3">
      <c r="G610" s="28"/>
      <c r="H610" s="28"/>
      <c r="I610" s="28"/>
      <c r="J610" s="31"/>
    </row>
    <row r="611" spans="7:10" x14ac:dyDescent="0.3">
      <c r="G611" s="28"/>
      <c r="H611" s="28"/>
      <c r="I611" s="28"/>
      <c r="J611" s="31"/>
    </row>
    <row r="612" spans="7:10" x14ac:dyDescent="0.3">
      <c r="G612" s="28"/>
      <c r="H612" s="28"/>
      <c r="I612" s="28"/>
      <c r="J612" s="31"/>
    </row>
    <row r="613" spans="7:10" x14ac:dyDescent="0.3">
      <c r="G613" s="28"/>
      <c r="H613" s="28"/>
      <c r="I613" s="28"/>
      <c r="J613" s="31"/>
    </row>
    <row r="614" spans="7:10" x14ac:dyDescent="0.3">
      <c r="G614" s="28"/>
      <c r="H614" s="28"/>
      <c r="I614" s="28"/>
      <c r="J614" s="31"/>
    </row>
    <row r="615" spans="7:10" x14ac:dyDescent="0.3">
      <c r="G615" s="28"/>
      <c r="H615" s="28"/>
      <c r="I615" s="28"/>
      <c r="J615" s="31"/>
    </row>
    <row r="616" spans="7:10" x14ac:dyDescent="0.3">
      <c r="G616" s="28"/>
      <c r="H616" s="28"/>
      <c r="I616" s="28"/>
      <c r="J616" s="31"/>
    </row>
    <row r="617" spans="7:10" x14ac:dyDescent="0.3">
      <c r="G617" s="28"/>
      <c r="H617" s="28"/>
      <c r="I617" s="28"/>
      <c r="J617" s="31"/>
    </row>
    <row r="618" spans="7:10" x14ac:dyDescent="0.3">
      <c r="G618" s="28"/>
      <c r="H618" s="28"/>
      <c r="I618" s="28"/>
      <c r="J618" s="31"/>
    </row>
    <row r="619" spans="7:10" x14ac:dyDescent="0.3">
      <c r="G619" s="28"/>
      <c r="H619" s="28"/>
      <c r="I619" s="28"/>
      <c r="J619" s="31"/>
    </row>
    <row r="620" spans="7:10" x14ac:dyDescent="0.3">
      <c r="G620" s="28"/>
      <c r="H620" s="28"/>
      <c r="I620" s="28"/>
      <c r="J620" s="31"/>
    </row>
    <row r="621" spans="7:10" x14ac:dyDescent="0.3">
      <c r="G621" s="28"/>
      <c r="H621" s="28"/>
      <c r="I621" s="28"/>
      <c r="J621" s="31"/>
    </row>
    <row r="622" spans="7:10" x14ac:dyDescent="0.3">
      <c r="G622" s="28"/>
      <c r="H622" s="28"/>
      <c r="I622" s="28"/>
      <c r="J622" s="31"/>
    </row>
    <row r="623" spans="7:10" x14ac:dyDescent="0.3">
      <c r="G623" s="28"/>
      <c r="H623" s="28"/>
      <c r="I623" s="28"/>
      <c r="J623" s="31"/>
    </row>
    <row r="624" spans="7:10" x14ac:dyDescent="0.3">
      <c r="G624" s="28"/>
      <c r="H624" s="28"/>
      <c r="I624" s="28"/>
      <c r="J624" s="31"/>
    </row>
    <row r="625" spans="7:10" x14ac:dyDescent="0.3">
      <c r="G625" s="28"/>
      <c r="H625" s="28"/>
      <c r="I625" s="28"/>
      <c r="J625" s="31"/>
    </row>
    <row r="626" spans="7:10" x14ac:dyDescent="0.3">
      <c r="G626" s="28"/>
      <c r="H626" s="28"/>
      <c r="I626" s="28"/>
      <c r="J626" s="31"/>
    </row>
    <row r="627" spans="7:10" x14ac:dyDescent="0.3">
      <c r="G627" s="28"/>
      <c r="H627" s="28"/>
      <c r="I627" s="28"/>
      <c r="J627" s="31"/>
    </row>
    <row r="628" spans="7:10" x14ac:dyDescent="0.3">
      <c r="G628" s="28"/>
      <c r="H628" s="28"/>
      <c r="I628" s="28"/>
      <c r="J628" s="31"/>
    </row>
    <row r="629" spans="7:10" x14ac:dyDescent="0.3">
      <c r="G629" s="28"/>
      <c r="H629" s="28"/>
      <c r="I629" s="28"/>
      <c r="J629" s="31"/>
    </row>
    <row r="630" spans="7:10" x14ac:dyDescent="0.3">
      <c r="G630" s="28"/>
      <c r="H630" s="28"/>
      <c r="I630" s="28"/>
      <c r="J630" s="31"/>
    </row>
    <row r="631" spans="7:10" x14ac:dyDescent="0.3">
      <c r="G631" s="28"/>
      <c r="H631" s="28"/>
      <c r="I631" s="28"/>
      <c r="J631" s="31"/>
    </row>
    <row r="632" spans="7:10" x14ac:dyDescent="0.3">
      <c r="G632" s="28"/>
      <c r="H632" s="28"/>
      <c r="I632" s="28"/>
      <c r="J632" s="31"/>
    </row>
    <row r="633" spans="7:10" x14ac:dyDescent="0.3">
      <c r="G633" s="28"/>
      <c r="H633" s="28"/>
      <c r="I633" s="28"/>
      <c r="J633" s="31"/>
    </row>
    <row r="634" spans="7:10" x14ac:dyDescent="0.3">
      <c r="G634" s="28"/>
      <c r="H634" s="28"/>
      <c r="I634" s="28"/>
      <c r="J634" s="31"/>
    </row>
    <row r="635" spans="7:10" x14ac:dyDescent="0.3">
      <c r="G635" s="28"/>
      <c r="H635" s="28"/>
      <c r="I635" s="28"/>
      <c r="J635" s="31"/>
    </row>
    <row r="636" spans="7:10" x14ac:dyDescent="0.3">
      <c r="G636" s="28"/>
      <c r="H636" s="28"/>
      <c r="I636" s="28"/>
      <c r="J636" s="31"/>
    </row>
    <row r="637" spans="7:10" x14ac:dyDescent="0.3">
      <c r="G637" s="28"/>
      <c r="H637" s="28"/>
      <c r="I637" s="28"/>
      <c r="J637" s="31"/>
    </row>
    <row r="638" spans="7:10" x14ac:dyDescent="0.3">
      <c r="G638" s="28"/>
      <c r="H638" s="28"/>
      <c r="I638" s="28"/>
      <c r="J638" s="31"/>
    </row>
    <row r="639" spans="7:10" x14ac:dyDescent="0.3">
      <c r="G639" s="28"/>
      <c r="H639" s="28"/>
      <c r="I639" s="28"/>
      <c r="J639" s="31"/>
    </row>
    <row r="640" spans="7:10" x14ac:dyDescent="0.3">
      <c r="G640" s="28"/>
      <c r="H640" s="28"/>
      <c r="I640" s="28"/>
      <c r="J640" s="31"/>
    </row>
    <row r="641" spans="7:10" x14ac:dyDescent="0.3">
      <c r="G641" s="28"/>
      <c r="H641" s="28"/>
      <c r="I641" s="28"/>
      <c r="J641" s="31"/>
    </row>
    <row r="642" spans="7:10" x14ac:dyDescent="0.3">
      <c r="G642" s="28"/>
      <c r="H642" s="28"/>
      <c r="I642" s="28"/>
      <c r="J642" s="31"/>
    </row>
    <row r="643" spans="7:10" x14ac:dyDescent="0.3">
      <c r="G643" s="28"/>
      <c r="H643" s="28"/>
      <c r="I643" s="28"/>
      <c r="J643" s="31"/>
    </row>
    <row r="644" spans="7:10" x14ac:dyDescent="0.3">
      <c r="G644" s="28"/>
      <c r="H644" s="28"/>
      <c r="I644" s="28"/>
      <c r="J644" s="31"/>
    </row>
    <row r="645" spans="7:10" x14ac:dyDescent="0.3">
      <c r="G645" s="28"/>
      <c r="H645" s="28"/>
      <c r="I645" s="28"/>
      <c r="J645" s="31"/>
    </row>
    <row r="646" spans="7:10" x14ac:dyDescent="0.3">
      <c r="G646" s="28"/>
      <c r="H646" s="28"/>
      <c r="I646" s="28"/>
      <c r="J646" s="31"/>
    </row>
    <row r="647" spans="7:10" x14ac:dyDescent="0.3">
      <c r="G647" s="28"/>
      <c r="H647" s="28"/>
      <c r="I647" s="28"/>
      <c r="J647" s="31"/>
    </row>
    <row r="648" spans="7:10" x14ac:dyDescent="0.3">
      <c r="G648" s="28"/>
      <c r="H648" s="28"/>
      <c r="I648" s="28"/>
      <c r="J648" s="31"/>
    </row>
    <row r="649" spans="7:10" x14ac:dyDescent="0.3">
      <c r="G649" s="28"/>
      <c r="H649" s="28"/>
      <c r="I649" s="28"/>
      <c r="J649" s="31"/>
    </row>
    <row r="650" spans="7:10" x14ac:dyDescent="0.3">
      <c r="G650" s="28"/>
      <c r="H650" s="28"/>
      <c r="I650" s="28"/>
      <c r="J650" s="31"/>
    </row>
    <row r="651" spans="7:10" x14ac:dyDescent="0.3">
      <c r="G651" s="28"/>
      <c r="H651" s="28"/>
      <c r="I651" s="28"/>
      <c r="J651" s="31"/>
    </row>
    <row r="652" spans="7:10" x14ac:dyDescent="0.3">
      <c r="G652" s="28"/>
      <c r="H652" s="28"/>
      <c r="I652" s="28"/>
      <c r="J652" s="31"/>
    </row>
    <row r="653" spans="7:10" x14ac:dyDescent="0.3">
      <c r="G653" s="28"/>
      <c r="H653" s="28"/>
      <c r="I653" s="28"/>
      <c r="J653" s="31"/>
    </row>
    <row r="654" spans="7:10" x14ac:dyDescent="0.3">
      <c r="G654" s="28"/>
      <c r="H654" s="28"/>
      <c r="I654" s="28"/>
      <c r="J654" s="31"/>
    </row>
    <row r="655" spans="7:10" x14ac:dyDescent="0.3">
      <c r="G655" s="28"/>
      <c r="H655" s="28"/>
      <c r="I655" s="28"/>
      <c r="J655" s="31"/>
    </row>
    <row r="656" spans="7:10" x14ac:dyDescent="0.3">
      <c r="G656" s="28"/>
      <c r="H656" s="28"/>
      <c r="I656" s="28"/>
      <c r="J656" s="31"/>
    </row>
    <row r="657" spans="7:10" x14ac:dyDescent="0.3">
      <c r="G657" s="28"/>
      <c r="H657" s="28"/>
      <c r="I657" s="28"/>
      <c r="J657" s="31"/>
    </row>
    <row r="658" spans="7:10" x14ac:dyDescent="0.3">
      <c r="G658" s="28"/>
      <c r="H658" s="28"/>
      <c r="I658" s="28"/>
      <c r="J658" s="31"/>
    </row>
    <row r="659" spans="7:10" x14ac:dyDescent="0.3">
      <c r="G659" s="28"/>
      <c r="H659" s="28"/>
      <c r="I659" s="28"/>
      <c r="J659" s="31"/>
    </row>
    <row r="660" spans="7:10" x14ac:dyDescent="0.3">
      <c r="G660" s="28"/>
      <c r="H660" s="28"/>
      <c r="I660" s="28"/>
      <c r="J660" s="31"/>
    </row>
    <row r="661" spans="7:10" x14ac:dyDescent="0.3">
      <c r="G661" s="28"/>
      <c r="H661" s="28"/>
      <c r="I661" s="28"/>
      <c r="J661" s="31"/>
    </row>
    <row r="662" spans="7:10" x14ac:dyDescent="0.3">
      <c r="G662" s="28"/>
      <c r="H662" s="28"/>
      <c r="I662" s="28"/>
      <c r="J662" s="31"/>
    </row>
    <row r="663" spans="7:10" x14ac:dyDescent="0.3">
      <c r="G663" s="28"/>
      <c r="H663" s="28"/>
      <c r="I663" s="28"/>
      <c r="J663" s="31"/>
    </row>
    <row r="664" spans="7:10" x14ac:dyDescent="0.3">
      <c r="G664" s="28"/>
      <c r="H664" s="28"/>
      <c r="I664" s="28"/>
      <c r="J664" s="31"/>
    </row>
    <row r="665" spans="7:10" x14ac:dyDescent="0.3">
      <c r="G665" s="28"/>
      <c r="H665" s="28"/>
      <c r="I665" s="28"/>
      <c r="J665" s="31"/>
    </row>
    <row r="666" spans="7:10" x14ac:dyDescent="0.3">
      <c r="G666" s="28"/>
      <c r="H666" s="28"/>
      <c r="I666" s="28"/>
      <c r="J666" s="31"/>
    </row>
    <row r="667" spans="7:10" x14ac:dyDescent="0.3">
      <c r="G667" s="28"/>
      <c r="H667" s="28"/>
      <c r="I667" s="28"/>
      <c r="J667" s="31"/>
    </row>
    <row r="668" spans="7:10" x14ac:dyDescent="0.3">
      <c r="G668" s="28"/>
      <c r="H668" s="28"/>
      <c r="I668" s="28"/>
      <c r="J668" s="31"/>
    </row>
    <row r="669" spans="7:10" x14ac:dyDescent="0.3">
      <c r="G669" s="28"/>
      <c r="H669" s="28"/>
      <c r="I669" s="28"/>
      <c r="J669" s="31"/>
    </row>
    <row r="670" spans="7:10" x14ac:dyDescent="0.3">
      <c r="G670" s="28"/>
      <c r="H670" s="28"/>
      <c r="I670" s="28"/>
      <c r="J670" s="31"/>
    </row>
    <row r="671" spans="7:10" x14ac:dyDescent="0.3">
      <c r="G671" s="28"/>
      <c r="H671" s="28"/>
      <c r="I671" s="28"/>
      <c r="J671" s="31"/>
    </row>
    <row r="672" spans="7:10" x14ac:dyDescent="0.3">
      <c r="G672" s="28"/>
      <c r="H672" s="28"/>
      <c r="I672" s="28"/>
      <c r="J672" s="31"/>
    </row>
    <row r="673" spans="7:10" x14ac:dyDescent="0.3">
      <c r="G673" s="28"/>
      <c r="H673" s="28"/>
      <c r="I673" s="28"/>
      <c r="J673" s="31"/>
    </row>
    <row r="674" spans="7:10" x14ac:dyDescent="0.3">
      <c r="G674" s="28"/>
      <c r="H674" s="28"/>
      <c r="I674" s="28"/>
      <c r="J674" s="31"/>
    </row>
    <row r="675" spans="7:10" x14ac:dyDescent="0.3">
      <c r="G675" s="28"/>
      <c r="H675" s="28"/>
      <c r="I675" s="28"/>
      <c r="J675" s="31"/>
    </row>
    <row r="676" spans="7:10" x14ac:dyDescent="0.3">
      <c r="G676" s="28"/>
      <c r="H676" s="28"/>
      <c r="I676" s="28"/>
      <c r="J676" s="31"/>
    </row>
    <row r="677" spans="7:10" x14ac:dyDescent="0.3">
      <c r="G677" s="28"/>
      <c r="H677" s="28"/>
      <c r="I677" s="28"/>
      <c r="J677" s="31"/>
    </row>
    <row r="678" spans="7:10" x14ac:dyDescent="0.3">
      <c r="G678" s="28"/>
      <c r="H678" s="28"/>
      <c r="I678" s="28"/>
      <c r="J678" s="31"/>
    </row>
    <row r="679" spans="7:10" x14ac:dyDescent="0.3">
      <c r="G679" s="28"/>
      <c r="H679" s="28"/>
      <c r="I679" s="28"/>
      <c r="J679" s="31"/>
    </row>
    <row r="680" spans="7:10" x14ac:dyDescent="0.3">
      <c r="G680" s="28"/>
      <c r="H680" s="28"/>
      <c r="I680" s="28"/>
      <c r="J680" s="31"/>
    </row>
    <row r="681" spans="7:10" x14ac:dyDescent="0.3">
      <c r="G681" s="28"/>
      <c r="H681" s="28"/>
      <c r="I681" s="28"/>
      <c r="J681" s="31"/>
    </row>
    <row r="682" spans="7:10" x14ac:dyDescent="0.3">
      <c r="G682" s="28"/>
      <c r="H682" s="28"/>
      <c r="I682" s="28"/>
      <c r="J682" s="31"/>
    </row>
    <row r="683" spans="7:10" x14ac:dyDescent="0.3">
      <c r="G683" s="28"/>
      <c r="H683" s="28"/>
      <c r="I683" s="28"/>
      <c r="J683" s="31"/>
    </row>
    <row r="684" spans="7:10" x14ac:dyDescent="0.3">
      <c r="G684" s="28"/>
      <c r="H684" s="28"/>
      <c r="I684" s="28"/>
      <c r="J684" s="31"/>
    </row>
    <row r="685" spans="7:10" x14ac:dyDescent="0.3">
      <c r="G685" s="28"/>
      <c r="H685" s="28"/>
      <c r="I685" s="28"/>
      <c r="J685" s="31"/>
    </row>
    <row r="686" spans="7:10" x14ac:dyDescent="0.3">
      <c r="G686" s="28"/>
      <c r="H686" s="28"/>
      <c r="I686" s="28"/>
      <c r="J686" s="31"/>
    </row>
    <row r="687" spans="7:10" x14ac:dyDescent="0.3">
      <c r="G687" s="28"/>
      <c r="H687" s="28"/>
      <c r="I687" s="28"/>
      <c r="J687" s="31"/>
    </row>
    <row r="688" spans="7:10" x14ac:dyDescent="0.3">
      <c r="G688" s="28"/>
      <c r="H688" s="28"/>
      <c r="I688" s="28"/>
      <c r="J688" s="31"/>
    </row>
    <row r="689" spans="7:10" x14ac:dyDescent="0.3">
      <c r="G689" s="28"/>
      <c r="H689" s="28"/>
      <c r="I689" s="28"/>
      <c r="J689" s="31"/>
    </row>
    <row r="690" spans="7:10" x14ac:dyDescent="0.3">
      <c r="G690" s="28"/>
      <c r="H690" s="28"/>
      <c r="I690" s="28"/>
      <c r="J690" s="31"/>
    </row>
    <row r="691" spans="7:10" x14ac:dyDescent="0.3">
      <c r="G691" s="28"/>
      <c r="H691" s="28"/>
      <c r="I691" s="28"/>
      <c r="J691" s="31"/>
    </row>
    <row r="692" spans="7:10" x14ac:dyDescent="0.3">
      <c r="G692" s="28"/>
      <c r="H692" s="28"/>
      <c r="I692" s="28"/>
      <c r="J692" s="31"/>
    </row>
    <row r="693" spans="7:10" x14ac:dyDescent="0.3">
      <c r="G693" s="28"/>
      <c r="H693" s="28"/>
      <c r="I693" s="28"/>
      <c r="J693" s="31"/>
    </row>
    <row r="694" spans="7:10" x14ac:dyDescent="0.3">
      <c r="G694" s="28"/>
      <c r="H694" s="28"/>
      <c r="I694" s="28"/>
      <c r="J694" s="31"/>
    </row>
    <row r="695" spans="7:10" x14ac:dyDescent="0.3">
      <c r="G695" s="28"/>
      <c r="H695" s="28"/>
      <c r="I695" s="28"/>
      <c r="J695" s="31"/>
    </row>
    <row r="696" spans="7:10" x14ac:dyDescent="0.3">
      <c r="G696" s="28"/>
      <c r="H696" s="28"/>
      <c r="I696" s="28"/>
      <c r="J696" s="31"/>
    </row>
    <row r="697" spans="7:10" x14ac:dyDescent="0.3">
      <c r="G697" s="28"/>
      <c r="H697" s="28"/>
      <c r="I697" s="28"/>
      <c r="J697" s="31"/>
    </row>
    <row r="698" spans="7:10" x14ac:dyDescent="0.3">
      <c r="G698" s="28"/>
      <c r="H698" s="28"/>
      <c r="I698" s="28"/>
      <c r="J698" s="31"/>
    </row>
    <row r="699" spans="7:10" x14ac:dyDescent="0.3">
      <c r="G699" s="28"/>
      <c r="H699" s="28"/>
      <c r="I699" s="28"/>
      <c r="J699" s="31"/>
    </row>
    <row r="700" spans="7:10" x14ac:dyDescent="0.3">
      <c r="G700" s="28"/>
      <c r="H700" s="28"/>
      <c r="I700" s="28"/>
      <c r="J700" s="31"/>
    </row>
    <row r="701" spans="7:10" x14ac:dyDescent="0.3">
      <c r="G701" s="28"/>
      <c r="H701" s="28"/>
      <c r="I701" s="28"/>
      <c r="J701" s="31"/>
    </row>
    <row r="702" spans="7:10" x14ac:dyDescent="0.3">
      <c r="G702" s="28"/>
      <c r="H702" s="28"/>
      <c r="I702" s="28"/>
      <c r="J702" s="31"/>
    </row>
    <row r="703" spans="7:10" x14ac:dyDescent="0.3">
      <c r="G703" s="28"/>
      <c r="H703" s="28"/>
      <c r="I703" s="28"/>
      <c r="J703" s="31"/>
    </row>
    <row r="704" spans="7:10" x14ac:dyDescent="0.3">
      <c r="G704" s="28"/>
      <c r="H704" s="28"/>
      <c r="I704" s="28"/>
      <c r="J704" s="31"/>
    </row>
    <row r="705" spans="7:10" x14ac:dyDescent="0.3">
      <c r="G705" s="28"/>
      <c r="H705" s="28"/>
      <c r="I705" s="28"/>
      <c r="J705" s="31"/>
    </row>
    <row r="706" spans="7:10" x14ac:dyDescent="0.3">
      <c r="G706" s="28"/>
      <c r="H706" s="28"/>
      <c r="I706" s="28"/>
      <c r="J706" s="31"/>
    </row>
    <row r="707" spans="7:10" x14ac:dyDescent="0.3">
      <c r="G707" s="28"/>
      <c r="H707" s="28"/>
      <c r="I707" s="28"/>
      <c r="J707" s="31"/>
    </row>
    <row r="708" spans="7:10" x14ac:dyDescent="0.3">
      <c r="G708" s="28"/>
      <c r="H708" s="28"/>
      <c r="I708" s="28"/>
      <c r="J708" s="31"/>
    </row>
    <row r="709" spans="7:10" x14ac:dyDescent="0.3">
      <c r="G709" s="28"/>
      <c r="H709" s="28"/>
      <c r="I709" s="28"/>
      <c r="J709" s="31"/>
    </row>
    <row r="710" spans="7:10" x14ac:dyDescent="0.3">
      <c r="G710" s="28"/>
      <c r="H710" s="28"/>
      <c r="I710" s="28"/>
      <c r="J710" s="31"/>
    </row>
    <row r="711" spans="7:10" x14ac:dyDescent="0.3">
      <c r="G711" s="28"/>
      <c r="H711" s="28"/>
      <c r="I711" s="28"/>
      <c r="J711" s="31"/>
    </row>
    <row r="712" spans="7:10" x14ac:dyDescent="0.3">
      <c r="G712" s="28"/>
      <c r="H712" s="28"/>
      <c r="I712" s="28"/>
      <c r="J712" s="31"/>
    </row>
    <row r="713" spans="7:10" x14ac:dyDescent="0.3">
      <c r="G713" s="28"/>
      <c r="H713" s="28"/>
      <c r="I713" s="28"/>
      <c r="J713" s="31"/>
    </row>
    <row r="714" spans="7:10" x14ac:dyDescent="0.3">
      <c r="G714" s="28"/>
      <c r="H714" s="28"/>
      <c r="I714" s="28"/>
      <c r="J714" s="31"/>
    </row>
    <row r="715" spans="7:10" x14ac:dyDescent="0.3">
      <c r="G715" s="28"/>
      <c r="H715" s="28"/>
      <c r="I715" s="28"/>
      <c r="J715" s="31"/>
    </row>
    <row r="716" spans="7:10" x14ac:dyDescent="0.3">
      <c r="G716" s="28"/>
      <c r="H716" s="28"/>
      <c r="I716" s="28"/>
      <c r="J716" s="31"/>
    </row>
    <row r="717" spans="7:10" x14ac:dyDescent="0.3">
      <c r="G717" s="28"/>
      <c r="H717" s="28"/>
      <c r="I717" s="28"/>
      <c r="J717" s="31"/>
    </row>
    <row r="718" spans="7:10" x14ac:dyDescent="0.3">
      <c r="G718" s="28"/>
      <c r="H718" s="28"/>
      <c r="I718" s="28"/>
      <c r="J718" s="31"/>
    </row>
    <row r="719" spans="7:10" x14ac:dyDescent="0.3">
      <c r="G719" s="28"/>
      <c r="H719" s="28"/>
      <c r="I719" s="28"/>
      <c r="J719" s="31"/>
    </row>
    <row r="720" spans="7:10" x14ac:dyDescent="0.3">
      <c r="G720" s="28"/>
      <c r="H720" s="28"/>
      <c r="I720" s="28"/>
      <c r="J720" s="31"/>
    </row>
    <row r="721" spans="7:10" x14ac:dyDescent="0.3">
      <c r="G721" s="28"/>
      <c r="H721" s="28"/>
      <c r="I721" s="28"/>
      <c r="J721" s="31"/>
    </row>
    <row r="722" spans="7:10" x14ac:dyDescent="0.3">
      <c r="G722" s="28"/>
      <c r="H722" s="28"/>
      <c r="I722" s="28"/>
      <c r="J722" s="31"/>
    </row>
    <row r="723" spans="7:10" x14ac:dyDescent="0.3">
      <c r="G723" s="28"/>
      <c r="H723" s="28"/>
      <c r="I723" s="28"/>
      <c r="J723" s="31"/>
    </row>
    <row r="724" spans="7:10" x14ac:dyDescent="0.3">
      <c r="G724" s="28"/>
      <c r="H724" s="28"/>
      <c r="I724" s="28"/>
      <c r="J724" s="31"/>
    </row>
    <row r="725" spans="7:10" x14ac:dyDescent="0.3">
      <c r="G725" s="28"/>
      <c r="H725" s="28"/>
      <c r="I725" s="28"/>
      <c r="J725" s="31"/>
    </row>
    <row r="726" spans="7:10" x14ac:dyDescent="0.3">
      <c r="G726" s="28"/>
      <c r="H726" s="28"/>
      <c r="I726" s="28"/>
      <c r="J726" s="31"/>
    </row>
    <row r="727" spans="7:10" x14ac:dyDescent="0.3">
      <c r="G727" s="28"/>
      <c r="H727" s="28"/>
      <c r="I727" s="28"/>
      <c r="J727" s="31"/>
    </row>
    <row r="728" spans="7:10" x14ac:dyDescent="0.3">
      <c r="G728" s="28"/>
      <c r="H728" s="28"/>
      <c r="I728" s="28"/>
      <c r="J728" s="31"/>
    </row>
    <row r="729" spans="7:10" x14ac:dyDescent="0.3">
      <c r="G729" s="28"/>
      <c r="H729" s="28"/>
      <c r="I729" s="28"/>
      <c r="J729" s="31"/>
    </row>
    <row r="730" spans="7:10" x14ac:dyDescent="0.3">
      <c r="G730" s="28"/>
      <c r="H730" s="28"/>
      <c r="I730" s="28"/>
      <c r="J730" s="31"/>
    </row>
    <row r="731" spans="7:10" x14ac:dyDescent="0.3">
      <c r="G731" s="28"/>
      <c r="H731" s="28"/>
      <c r="I731" s="28"/>
      <c r="J731" s="31"/>
    </row>
    <row r="732" spans="7:10" x14ac:dyDescent="0.3">
      <c r="G732" s="28"/>
      <c r="H732" s="28"/>
      <c r="I732" s="28"/>
      <c r="J732" s="31"/>
    </row>
    <row r="733" spans="7:10" x14ac:dyDescent="0.3">
      <c r="G733" s="28"/>
      <c r="H733" s="28"/>
      <c r="I733" s="28"/>
      <c r="J733" s="31"/>
    </row>
    <row r="734" spans="7:10" x14ac:dyDescent="0.3">
      <c r="G734" s="28"/>
      <c r="H734" s="28"/>
      <c r="I734" s="28"/>
      <c r="J734" s="31"/>
    </row>
    <row r="735" spans="7:10" x14ac:dyDescent="0.3">
      <c r="G735" s="28"/>
      <c r="H735" s="28"/>
      <c r="I735" s="28"/>
      <c r="J735" s="31"/>
    </row>
    <row r="736" spans="7:10" x14ac:dyDescent="0.3">
      <c r="G736" s="28"/>
      <c r="H736" s="28"/>
      <c r="I736" s="28"/>
      <c r="J736" s="31"/>
    </row>
    <row r="737" spans="7:10" x14ac:dyDescent="0.3">
      <c r="G737" s="28"/>
      <c r="H737" s="28"/>
      <c r="I737" s="28"/>
      <c r="J737" s="31"/>
    </row>
    <row r="738" spans="7:10" x14ac:dyDescent="0.3">
      <c r="G738" s="28"/>
      <c r="H738" s="28"/>
      <c r="I738" s="28"/>
      <c r="J738" s="31"/>
    </row>
    <row r="739" spans="7:10" x14ac:dyDescent="0.3">
      <c r="G739" s="28"/>
      <c r="H739" s="28"/>
      <c r="I739" s="28"/>
      <c r="J739" s="31"/>
    </row>
    <row r="740" spans="7:10" x14ac:dyDescent="0.3">
      <c r="G740" s="28"/>
      <c r="H740" s="28"/>
      <c r="I740" s="28"/>
      <c r="J740" s="31"/>
    </row>
    <row r="741" spans="7:10" x14ac:dyDescent="0.3">
      <c r="G741" s="28"/>
      <c r="H741" s="28"/>
      <c r="I741" s="28"/>
      <c r="J741" s="31"/>
    </row>
    <row r="742" spans="7:10" x14ac:dyDescent="0.3">
      <c r="G742" s="28"/>
      <c r="H742" s="28"/>
      <c r="I742" s="28"/>
      <c r="J742" s="31"/>
    </row>
    <row r="743" spans="7:10" x14ac:dyDescent="0.3">
      <c r="G743" s="28"/>
      <c r="H743" s="28"/>
      <c r="I743" s="28"/>
      <c r="J743" s="31"/>
    </row>
    <row r="744" spans="7:10" x14ac:dyDescent="0.3">
      <c r="G744" s="28"/>
      <c r="H744" s="28"/>
      <c r="I744" s="28"/>
      <c r="J744" s="31"/>
    </row>
    <row r="745" spans="7:10" x14ac:dyDescent="0.3">
      <c r="G745" s="28"/>
      <c r="H745" s="28"/>
      <c r="I745" s="28"/>
      <c r="J745" s="31"/>
    </row>
    <row r="746" spans="7:10" x14ac:dyDescent="0.3">
      <c r="G746" s="28"/>
      <c r="H746" s="28"/>
      <c r="I746" s="28"/>
      <c r="J746" s="31"/>
    </row>
    <row r="747" spans="7:10" x14ac:dyDescent="0.3">
      <c r="G747" s="28"/>
      <c r="H747" s="28"/>
      <c r="I747" s="28"/>
      <c r="J747" s="31"/>
    </row>
    <row r="748" spans="7:10" x14ac:dyDescent="0.3">
      <c r="G748" s="28"/>
      <c r="H748" s="28"/>
      <c r="I748" s="28"/>
      <c r="J748" s="31"/>
    </row>
    <row r="749" spans="7:10" x14ac:dyDescent="0.3">
      <c r="G749" s="28"/>
      <c r="H749" s="28"/>
      <c r="I749" s="28"/>
      <c r="J749" s="31"/>
    </row>
    <row r="750" spans="7:10" x14ac:dyDescent="0.3">
      <c r="G750" s="28"/>
      <c r="H750" s="28"/>
      <c r="I750" s="28"/>
      <c r="J750" s="31"/>
    </row>
    <row r="751" spans="7:10" x14ac:dyDescent="0.3">
      <c r="G751" s="28"/>
      <c r="H751" s="28"/>
      <c r="I751" s="28"/>
      <c r="J751" s="31"/>
    </row>
    <row r="752" spans="7:10" x14ac:dyDescent="0.3">
      <c r="G752" s="28"/>
      <c r="H752" s="28"/>
      <c r="I752" s="28"/>
      <c r="J752" s="31"/>
    </row>
    <row r="753" spans="7:10" x14ac:dyDescent="0.3">
      <c r="G753" s="28"/>
      <c r="H753" s="28"/>
      <c r="I753" s="28"/>
      <c r="J753" s="31"/>
    </row>
    <row r="754" spans="7:10" x14ac:dyDescent="0.3">
      <c r="G754" s="28"/>
      <c r="H754" s="28"/>
      <c r="I754" s="28"/>
      <c r="J754" s="31"/>
    </row>
    <row r="755" spans="7:10" x14ac:dyDescent="0.3">
      <c r="G755" s="28"/>
      <c r="H755" s="28"/>
      <c r="I755" s="28"/>
      <c r="J755" s="31"/>
    </row>
    <row r="756" spans="7:10" x14ac:dyDescent="0.3">
      <c r="G756" s="28"/>
      <c r="H756" s="28"/>
      <c r="I756" s="28"/>
      <c r="J756" s="31"/>
    </row>
    <row r="757" spans="7:10" x14ac:dyDescent="0.3">
      <c r="G757" s="28"/>
      <c r="H757" s="28"/>
      <c r="I757" s="28"/>
      <c r="J757" s="31"/>
    </row>
    <row r="758" spans="7:10" x14ac:dyDescent="0.3">
      <c r="G758" s="28"/>
      <c r="H758" s="28"/>
      <c r="I758" s="28"/>
      <c r="J758" s="31"/>
    </row>
    <row r="759" spans="7:10" x14ac:dyDescent="0.3">
      <c r="G759" s="28"/>
      <c r="H759" s="28"/>
      <c r="I759" s="28"/>
      <c r="J759" s="31"/>
    </row>
    <row r="760" spans="7:10" x14ac:dyDescent="0.3">
      <c r="G760" s="28"/>
      <c r="H760" s="28"/>
      <c r="I760" s="28"/>
      <c r="J760" s="31"/>
    </row>
    <row r="761" spans="7:10" x14ac:dyDescent="0.3">
      <c r="G761" s="28"/>
      <c r="H761" s="28"/>
      <c r="I761" s="28"/>
      <c r="J761" s="31"/>
    </row>
    <row r="762" spans="7:10" x14ac:dyDescent="0.3">
      <c r="G762" s="28"/>
      <c r="H762" s="28"/>
      <c r="I762" s="28"/>
      <c r="J762" s="31"/>
    </row>
    <row r="763" spans="7:10" x14ac:dyDescent="0.3">
      <c r="G763" s="28"/>
      <c r="H763" s="28"/>
      <c r="I763" s="28"/>
      <c r="J763" s="31"/>
    </row>
    <row r="764" spans="7:10" x14ac:dyDescent="0.3">
      <c r="G764" s="28"/>
      <c r="H764" s="28"/>
      <c r="I764" s="28"/>
      <c r="J764" s="31"/>
    </row>
    <row r="765" spans="7:10" x14ac:dyDescent="0.3">
      <c r="G765" s="28"/>
      <c r="H765" s="28"/>
      <c r="I765" s="28"/>
      <c r="J765" s="31"/>
    </row>
    <row r="766" spans="7:10" x14ac:dyDescent="0.3">
      <c r="G766" s="28"/>
      <c r="H766" s="28"/>
      <c r="I766" s="28"/>
      <c r="J766" s="31"/>
    </row>
    <row r="767" spans="7:10" x14ac:dyDescent="0.3">
      <c r="G767" s="28"/>
      <c r="H767" s="28"/>
      <c r="I767" s="28"/>
      <c r="J767" s="31"/>
    </row>
    <row r="768" spans="7:10" x14ac:dyDescent="0.3">
      <c r="G768" s="28"/>
      <c r="H768" s="28"/>
      <c r="I768" s="28"/>
      <c r="J768" s="31"/>
    </row>
    <row r="769" spans="7:10" x14ac:dyDescent="0.3">
      <c r="G769" s="28"/>
      <c r="H769" s="28"/>
      <c r="I769" s="28"/>
      <c r="J769" s="31"/>
    </row>
    <row r="770" spans="7:10" x14ac:dyDescent="0.3">
      <c r="G770" s="28"/>
      <c r="H770" s="28"/>
      <c r="I770" s="28"/>
      <c r="J770" s="31"/>
    </row>
    <row r="771" spans="7:10" x14ac:dyDescent="0.3">
      <c r="G771" s="28"/>
      <c r="H771" s="28"/>
      <c r="I771" s="28"/>
      <c r="J771" s="31"/>
    </row>
    <row r="772" spans="7:10" x14ac:dyDescent="0.3">
      <c r="G772" s="28"/>
      <c r="H772" s="28"/>
      <c r="I772" s="28"/>
      <c r="J772" s="31"/>
    </row>
    <row r="773" spans="7:10" x14ac:dyDescent="0.3">
      <c r="G773" s="28"/>
      <c r="H773" s="28"/>
      <c r="I773" s="28"/>
      <c r="J773" s="31"/>
    </row>
    <row r="774" spans="7:10" x14ac:dyDescent="0.3">
      <c r="G774" s="28"/>
      <c r="H774" s="28"/>
      <c r="I774" s="28"/>
      <c r="J774" s="31"/>
    </row>
    <row r="775" spans="7:10" x14ac:dyDescent="0.3">
      <c r="G775" s="28"/>
      <c r="H775" s="28"/>
      <c r="I775" s="28"/>
      <c r="J775" s="31"/>
    </row>
    <row r="776" spans="7:10" x14ac:dyDescent="0.3">
      <c r="G776" s="28"/>
      <c r="H776" s="28"/>
      <c r="I776" s="28"/>
      <c r="J776" s="31"/>
    </row>
    <row r="777" spans="7:10" x14ac:dyDescent="0.3">
      <c r="G777" s="28"/>
      <c r="H777" s="28"/>
      <c r="I777" s="28"/>
      <c r="J777" s="31"/>
    </row>
    <row r="778" spans="7:10" x14ac:dyDescent="0.3">
      <c r="G778" s="28"/>
      <c r="H778" s="28"/>
      <c r="I778" s="28"/>
      <c r="J778" s="31"/>
    </row>
    <row r="779" spans="7:10" x14ac:dyDescent="0.3">
      <c r="G779" s="28"/>
      <c r="H779" s="28"/>
      <c r="I779" s="28"/>
      <c r="J779" s="31"/>
    </row>
    <row r="780" spans="7:10" x14ac:dyDescent="0.3">
      <c r="G780" s="28"/>
      <c r="H780" s="28"/>
      <c r="I780" s="28"/>
      <c r="J780" s="31"/>
    </row>
    <row r="781" spans="7:10" x14ac:dyDescent="0.3">
      <c r="G781" s="28"/>
      <c r="H781" s="28"/>
      <c r="I781" s="28"/>
      <c r="J781" s="31"/>
    </row>
    <row r="782" spans="7:10" x14ac:dyDescent="0.3">
      <c r="G782" s="28"/>
      <c r="H782" s="28"/>
      <c r="I782" s="28"/>
      <c r="J782" s="31"/>
    </row>
    <row r="783" spans="7:10" x14ac:dyDescent="0.3">
      <c r="G783" s="28"/>
      <c r="H783" s="28"/>
      <c r="I783" s="28"/>
      <c r="J783" s="31"/>
    </row>
    <row r="784" spans="7:10" x14ac:dyDescent="0.3">
      <c r="G784" s="28"/>
      <c r="H784" s="28"/>
      <c r="I784" s="28"/>
      <c r="J784" s="31"/>
    </row>
    <row r="785" spans="7:10" x14ac:dyDescent="0.3">
      <c r="G785" s="28"/>
      <c r="H785" s="28"/>
      <c r="I785" s="28"/>
      <c r="J785" s="31"/>
    </row>
    <row r="786" spans="7:10" x14ac:dyDescent="0.3">
      <c r="G786" s="28"/>
      <c r="H786" s="28"/>
      <c r="I786" s="28"/>
      <c r="J786" s="31"/>
    </row>
    <row r="787" spans="7:10" x14ac:dyDescent="0.3">
      <c r="G787" s="28"/>
      <c r="H787" s="28"/>
      <c r="I787" s="28"/>
      <c r="J787" s="31"/>
    </row>
    <row r="788" spans="7:10" x14ac:dyDescent="0.3">
      <c r="G788" s="28"/>
      <c r="H788" s="28"/>
      <c r="I788" s="28"/>
      <c r="J788" s="31"/>
    </row>
    <row r="789" spans="7:10" x14ac:dyDescent="0.3">
      <c r="G789" s="28"/>
      <c r="H789" s="28"/>
      <c r="I789" s="28"/>
      <c r="J789" s="31"/>
    </row>
    <row r="790" spans="7:10" x14ac:dyDescent="0.3">
      <c r="G790" s="28"/>
      <c r="H790" s="28"/>
      <c r="I790" s="28"/>
      <c r="J790" s="31"/>
    </row>
    <row r="791" spans="7:10" x14ac:dyDescent="0.3">
      <c r="G791" s="28"/>
      <c r="H791" s="28"/>
      <c r="I791" s="28"/>
      <c r="J791" s="31"/>
    </row>
    <row r="792" spans="7:10" x14ac:dyDescent="0.3">
      <c r="G792" s="28"/>
      <c r="H792" s="28"/>
      <c r="I792" s="28"/>
      <c r="J792" s="31"/>
    </row>
    <row r="793" spans="7:10" x14ac:dyDescent="0.3">
      <c r="G793" s="28"/>
      <c r="H793" s="28"/>
      <c r="I793" s="28"/>
      <c r="J793" s="31"/>
    </row>
    <row r="794" spans="7:10" x14ac:dyDescent="0.3">
      <c r="G794" s="28"/>
      <c r="H794" s="28"/>
      <c r="I794" s="28"/>
      <c r="J794" s="31"/>
    </row>
    <row r="795" spans="7:10" x14ac:dyDescent="0.3">
      <c r="G795" s="28"/>
      <c r="H795" s="28"/>
      <c r="I795" s="28"/>
      <c r="J795" s="31"/>
    </row>
    <row r="796" spans="7:10" x14ac:dyDescent="0.3">
      <c r="G796" s="28"/>
      <c r="H796" s="28"/>
      <c r="I796" s="28"/>
      <c r="J796" s="31"/>
    </row>
    <row r="797" spans="7:10" x14ac:dyDescent="0.3">
      <c r="G797" s="28"/>
      <c r="H797" s="28"/>
      <c r="I797" s="28"/>
      <c r="J797" s="31"/>
    </row>
    <row r="798" spans="7:10" x14ac:dyDescent="0.3">
      <c r="G798" s="28"/>
      <c r="H798" s="28"/>
      <c r="I798" s="28"/>
      <c r="J798" s="31"/>
    </row>
    <row r="799" spans="7:10" x14ac:dyDescent="0.3">
      <c r="G799" s="28"/>
      <c r="H799" s="28"/>
      <c r="I799" s="28"/>
      <c r="J799" s="31"/>
    </row>
    <row r="800" spans="7:10" x14ac:dyDescent="0.3">
      <c r="G800" s="28"/>
      <c r="H800" s="28"/>
      <c r="I800" s="28"/>
      <c r="J800" s="31"/>
    </row>
    <row r="801" spans="7:10" x14ac:dyDescent="0.3">
      <c r="G801" s="28"/>
      <c r="H801" s="28"/>
      <c r="I801" s="28"/>
      <c r="J801" s="31"/>
    </row>
    <row r="802" spans="7:10" x14ac:dyDescent="0.3">
      <c r="G802" s="28"/>
      <c r="H802" s="28"/>
      <c r="I802" s="28"/>
      <c r="J802" s="31"/>
    </row>
    <row r="803" spans="7:10" x14ac:dyDescent="0.3">
      <c r="G803" s="28"/>
      <c r="H803" s="28"/>
      <c r="I803" s="28"/>
      <c r="J803" s="31"/>
    </row>
    <row r="804" spans="7:10" x14ac:dyDescent="0.3">
      <c r="G804" s="28"/>
      <c r="H804" s="28"/>
      <c r="I804" s="28"/>
      <c r="J804" s="31"/>
    </row>
    <row r="805" spans="7:10" x14ac:dyDescent="0.3">
      <c r="G805" s="28"/>
      <c r="H805" s="28"/>
      <c r="I805" s="28"/>
      <c r="J805" s="31"/>
    </row>
    <row r="806" spans="7:10" x14ac:dyDescent="0.3">
      <c r="G806" s="28"/>
      <c r="H806" s="28"/>
      <c r="I806" s="28"/>
      <c r="J806" s="31"/>
    </row>
    <row r="807" spans="7:10" x14ac:dyDescent="0.3">
      <c r="G807" s="28"/>
      <c r="H807" s="28"/>
      <c r="I807" s="28"/>
      <c r="J807" s="31"/>
    </row>
    <row r="808" spans="7:10" x14ac:dyDescent="0.3">
      <c r="G808" s="28"/>
      <c r="H808" s="28"/>
      <c r="I808" s="28"/>
      <c r="J808" s="31"/>
    </row>
    <row r="809" spans="7:10" x14ac:dyDescent="0.3">
      <c r="G809" s="28"/>
      <c r="H809" s="28"/>
      <c r="I809" s="28"/>
      <c r="J809" s="31"/>
    </row>
    <row r="810" spans="7:10" x14ac:dyDescent="0.3">
      <c r="G810" s="28"/>
      <c r="H810" s="28"/>
      <c r="I810" s="28"/>
      <c r="J810" s="31"/>
    </row>
    <row r="811" spans="7:10" x14ac:dyDescent="0.3">
      <c r="G811" s="28"/>
      <c r="H811" s="28"/>
      <c r="I811" s="28"/>
      <c r="J811" s="31"/>
    </row>
    <row r="812" spans="7:10" x14ac:dyDescent="0.3">
      <c r="G812" s="28"/>
      <c r="H812" s="28"/>
      <c r="I812" s="28"/>
      <c r="J812" s="31"/>
    </row>
    <row r="813" spans="7:10" x14ac:dyDescent="0.3">
      <c r="G813" s="28"/>
      <c r="H813" s="28"/>
      <c r="I813" s="28"/>
      <c r="J813" s="31"/>
    </row>
    <row r="814" spans="7:10" x14ac:dyDescent="0.3">
      <c r="G814" s="28"/>
      <c r="H814" s="28"/>
      <c r="I814" s="28"/>
      <c r="J814" s="31"/>
    </row>
    <row r="815" spans="7:10" x14ac:dyDescent="0.3">
      <c r="G815" s="28"/>
      <c r="H815" s="28"/>
      <c r="I815" s="28"/>
      <c r="J815" s="31"/>
    </row>
    <row r="816" spans="7:10" x14ac:dyDescent="0.3">
      <c r="G816" s="28"/>
      <c r="H816" s="28"/>
      <c r="I816" s="28"/>
      <c r="J816" s="31"/>
    </row>
    <row r="817" spans="7:10" x14ac:dyDescent="0.3">
      <c r="G817" s="28"/>
      <c r="H817" s="28"/>
      <c r="I817" s="28"/>
      <c r="J817" s="31"/>
    </row>
    <row r="818" spans="7:10" x14ac:dyDescent="0.3">
      <c r="G818" s="28"/>
      <c r="H818" s="28"/>
      <c r="I818" s="28"/>
      <c r="J818" s="31"/>
    </row>
    <row r="819" spans="7:10" x14ac:dyDescent="0.3">
      <c r="G819" s="28"/>
      <c r="H819" s="28"/>
      <c r="I819" s="28"/>
      <c r="J819" s="31"/>
    </row>
    <row r="820" spans="7:10" x14ac:dyDescent="0.3">
      <c r="G820" s="28"/>
      <c r="H820" s="28"/>
      <c r="I820" s="28"/>
      <c r="J820" s="31"/>
    </row>
    <row r="821" spans="7:10" x14ac:dyDescent="0.3">
      <c r="G821" s="28"/>
      <c r="H821" s="28"/>
      <c r="I821" s="28"/>
      <c r="J821" s="31"/>
    </row>
    <row r="822" spans="7:10" x14ac:dyDescent="0.3">
      <c r="G822" s="28"/>
      <c r="H822" s="28"/>
      <c r="I822" s="28"/>
      <c r="J822" s="31"/>
    </row>
    <row r="823" spans="7:10" x14ac:dyDescent="0.3">
      <c r="G823" s="28"/>
      <c r="H823" s="28"/>
      <c r="I823" s="28"/>
      <c r="J823" s="31"/>
    </row>
    <row r="824" spans="7:10" x14ac:dyDescent="0.3">
      <c r="G824" s="28"/>
      <c r="H824" s="28"/>
      <c r="I824" s="28"/>
      <c r="J824" s="31"/>
    </row>
    <row r="825" spans="7:10" x14ac:dyDescent="0.3">
      <c r="G825" s="28"/>
      <c r="H825" s="28"/>
      <c r="I825" s="28"/>
      <c r="J825" s="31"/>
    </row>
    <row r="826" spans="7:10" x14ac:dyDescent="0.3">
      <c r="G826" s="28"/>
      <c r="H826" s="28"/>
      <c r="I826" s="28"/>
      <c r="J826" s="31"/>
    </row>
    <row r="827" spans="7:10" x14ac:dyDescent="0.3">
      <c r="G827" s="28"/>
      <c r="H827" s="28"/>
      <c r="I827" s="28"/>
      <c r="J827" s="31"/>
    </row>
    <row r="828" spans="7:10" x14ac:dyDescent="0.3">
      <c r="G828" s="28"/>
      <c r="H828" s="28"/>
      <c r="I828" s="28"/>
      <c r="J828" s="31"/>
    </row>
    <row r="829" spans="7:10" x14ac:dyDescent="0.3">
      <c r="G829" s="28"/>
      <c r="H829" s="28"/>
      <c r="I829" s="28"/>
      <c r="J829" s="31"/>
    </row>
    <row r="830" spans="7:10" x14ac:dyDescent="0.3">
      <c r="G830" s="28"/>
      <c r="H830" s="28"/>
      <c r="I830" s="28"/>
      <c r="J830" s="31"/>
    </row>
    <row r="831" spans="7:10" x14ac:dyDescent="0.3">
      <c r="G831" s="28"/>
      <c r="H831" s="28"/>
      <c r="I831" s="28"/>
      <c r="J831" s="31"/>
    </row>
    <row r="832" spans="7:10" x14ac:dyDescent="0.3">
      <c r="G832" s="28"/>
      <c r="H832" s="28"/>
      <c r="I832" s="28"/>
      <c r="J832" s="31"/>
    </row>
    <row r="833" spans="7:10" x14ac:dyDescent="0.3">
      <c r="G833" s="28"/>
      <c r="H833" s="28"/>
      <c r="I833" s="28"/>
      <c r="J833" s="31"/>
    </row>
    <row r="834" spans="7:10" x14ac:dyDescent="0.3">
      <c r="G834" s="28"/>
      <c r="H834" s="28"/>
      <c r="I834" s="28"/>
      <c r="J834" s="31"/>
    </row>
    <row r="835" spans="7:10" x14ac:dyDescent="0.3">
      <c r="G835" s="28"/>
      <c r="H835" s="28"/>
      <c r="I835" s="28"/>
      <c r="J835" s="31"/>
    </row>
    <row r="836" spans="7:10" x14ac:dyDescent="0.3">
      <c r="G836" s="28"/>
      <c r="H836" s="28"/>
      <c r="I836" s="28"/>
      <c r="J836" s="31"/>
    </row>
    <row r="837" spans="7:10" x14ac:dyDescent="0.3">
      <c r="G837" s="28"/>
      <c r="H837" s="28"/>
      <c r="I837" s="28"/>
      <c r="J837" s="31"/>
    </row>
    <row r="838" spans="7:10" x14ac:dyDescent="0.3">
      <c r="G838" s="28"/>
      <c r="H838" s="28"/>
      <c r="I838" s="28"/>
      <c r="J838" s="31"/>
    </row>
    <row r="839" spans="7:10" x14ac:dyDescent="0.3">
      <c r="G839" s="28"/>
      <c r="H839" s="28"/>
      <c r="I839" s="28"/>
      <c r="J839" s="31"/>
    </row>
    <row r="840" spans="7:10" x14ac:dyDescent="0.3">
      <c r="G840" s="28"/>
      <c r="H840" s="28"/>
      <c r="I840" s="28"/>
      <c r="J840" s="31"/>
    </row>
    <row r="841" spans="7:10" x14ac:dyDescent="0.3">
      <c r="G841" s="28"/>
      <c r="H841" s="28"/>
      <c r="I841" s="28"/>
      <c r="J841" s="31"/>
    </row>
    <row r="842" spans="7:10" x14ac:dyDescent="0.3">
      <c r="G842" s="28"/>
      <c r="H842" s="28"/>
      <c r="I842" s="28"/>
      <c r="J842" s="31"/>
    </row>
    <row r="843" spans="7:10" x14ac:dyDescent="0.3">
      <c r="G843" s="28"/>
      <c r="H843" s="28"/>
      <c r="I843" s="28"/>
      <c r="J843" s="31"/>
    </row>
    <row r="844" spans="7:10" x14ac:dyDescent="0.3">
      <c r="G844" s="28"/>
      <c r="H844" s="28"/>
      <c r="I844" s="28"/>
      <c r="J844" s="31"/>
    </row>
    <row r="845" spans="7:10" x14ac:dyDescent="0.3">
      <c r="G845" s="28"/>
      <c r="H845" s="28"/>
      <c r="I845" s="28"/>
      <c r="J845" s="31"/>
    </row>
    <row r="846" spans="7:10" x14ac:dyDescent="0.3">
      <c r="G846" s="28"/>
      <c r="H846" s="28"/>
      <c r="I846" s="28"/>
      <c r="J846" s="31"/>
    </row>
    <row r="847" spans="7:10" x14ac:dyDescent="0.3">
      <c r="G847" s="28"/>
      <c r="H847" s="28"/>
      <c r="I847" s="28"/>
      <c r="J847" s="31"/>
    </row>
    <row r="848" spans="7:10" x14ac:dyDescent="0.3">
      <c r="G848" s="28"/>
      <c r="H848" s="28"/>
      <c r="I848" s="28"/>
      <c r="J848" s="31"/>
    </row>
    <row r="849" spans="7:10" x14ac:dyDescent="0.3">
      <c r="G849" s="28"/>
      <c r="H849" s="28"/>
      <c r="I849" s="28"/>
      <c r="J849" s="31"/>
    </row>
    <row r="850" spans="7:10" x14ac:dyDescent="0.3">
      <c r="G850" s="28"/>
      <c r="H850" s="28"/>
      <c r="I850" s="28"/>
      <c r="J850" s="31"/>
    </row>
    <row r="851" spans="7:10" x14ac:dyDescent="0.3">
      <c r="G851" s="28"/>
      <c r="H851" s="28"/>
      <c r="I851" s="28"/>
      <c r="J851" s="31"/>
    </row>
    <row r="852" spans="7:10" x14ac:dyDescent="0.3">
      <c r="G852" s="28"/>
      <c r="H852" s="28"/>
      <c r="I852" s="28"/>
      <c r="J852" s="31"/>
    </row>
    <row r="853" spans="7:10" x14ac:dyDescent="0.3">
      <c r="G853" s="28"/>
      <c r="H853" s="28"/>
      <c r="I853" s="28"/>
      <c r="J853" s="31"/>
    </row>
    <row r="854" spans="7:10" x14ac:dyDescent="0.3">
      <c r="G854" s="28"/>
      <c r="H854" s="28"/>
      <c r="I854" s="28"/>
      <c r="J854" s="31"/>
    </row>
    <row r="855" spans="7:10" x14ac:dyDescent="0.3">
      <c r="G855" s="28"/>
      <c r="H855" s="28"/>
      <c r="I855" s="28"/>
      <c r="J855" s="31"/>
    </row>
    <row r="856" spans="7:10" x14ac:dyDescent="0.3">
      <c r="G856" s="28"/>
      <c r="H856" s="28"/>
      <c r="I856" s="28"/>
      <c r="J856" s="31"/>
    </row>
    <row r="857" spans="7:10" x14ac:dyDescent="0.3">
      <c r="G857" s="28"/>
      <c r="H857" s="28"/>
      <c r="I857" s="28"/>
      <c r="J857" s="31"/>
    </row>
    <row r="858" spans="7:10" x14ac:dyDescent="0.3">
      <c r="G858" s="28"/>
      <c r="H858" s="28"/>
      <c r="I858" s="28"/>
      <c r="J858" s="31"/>
    </row>
    <row r="859" spans="7:10" x14ac:dyDescent="0.3">
      <c r="G859" s="28"/>
      <c r="H859" s="28"/>
      <c r="I859" s="28"/>
      <c r="J859" s="31"/>
    </row>
    <row r="860" spans="7:10" x14ac:dyDescent="0.3">
      <c r="G860" s="28"/>
      <c r="H860" s="28"/>
      <c r="I860" s="28"/>
      <c r="J860" s="31"/>
    </row>
    <row r="861" spans="7:10" x14ac:dyDescent="0.3">
      <c r="G861" s="28"/>
      <c r="H861" s="28"/>
      <c r="I861" s="28"/>
      <c r="J861" s="31"/>
    </row>
    <row r="862" spans="7:10" x14ac:dyDescent="0.3">
      <c r="G862" s="28"/>
      <c r="H862" s="28"/>
      <c r="I862" s="28"/>
      <c r="J862" s="31"/>
    </row>
    <row r="863" spans="7:10" x14ac:dyDescent="0.3">
      <c r="G863" s="28"/>
      <c r="H863" s="28"/>
      <c r="I863" s="28"/>
      <c r="J863" s="31"/>
    </row>
    <row r="864" spans="7:10" x14ac:dyDescent="0.3">
      <c r="G864" s="28"/>
      <c r="H864" s="28"/>
      <c r="I864" s="28"/>
      <c r="J864" s="31"/>
    </row>
    <row r="865" spans="7:10" x14ac:dyDescent="0.3">
      <c r="G865" s="28"/>
      <c r="H865" s="28"/>
      <c r="I865" s="28"/>
      <c r="J865" s="31"/>
    </row>
    <row r="866" spans="7:10" x14ac:dyDescent="0.3">
      <c r="G866" s="28"/>
      <c r="H866" s="28"/>
      <c r="I866" s="28"/>
      <c r="J866" s="31"/>
    </row>
    <row r="867" spans="7:10" x14ac:dyDescent="0.3">
      <c r="G867" s="28"/>
      <c r="H867" s="28"/>
      <c r="I867" s="28"/>
      <c r="J867" s="31"/>
    </row>
    <row r="868" spans="7:10" x14ac:dyDescent="0.3">
      <c r="G868" s="28"/>
      <c r="H868" s="28"/>
      <c r="I868" s="28"/>
      <c r="J868" s="31"/>
    </row>
    <row r="869" spans="7:10" x14ac:dyDescent="0.3">
      <c r="G869" s="28"/>
      <c r="H869" s="28"/>
      <c r="I869" s="28"/>
      <c r="J869" s="31"/>
    </row>
    <row r="870" spans="7:10" x14ac:dyDescent="0.3">
      <c r="G870" s="28"/>
      <c r="H870" s="28"/>
      <c r="I870" s="28"/>
      <c r="J870" s="31"/>
    </row>
    <row r="871" spans="7:10" x14ac:dyDescent="0.3">
      <c r="G871" s="28"/>
      <c r="H871" s="28"/>
      <c r="I871" s="28"/>
      <c r="J871" s="31"/>
    </row>
    <row r="872" spans="7:10" x14ac:dyDescent="0.3">
      <c r="G872" s="28"/>
      <c r="H872" s="28"/>
      <c r="I872" s="28"/>
      <c r="J872" s="31"/>
    </row>
    <row r="873" spans="7:10" x14ac:dyDescent="0.3">
      <c r="G873" s="28"/>
      <c r="H873" s="28"/>
      <c r="I873" s="28"/>
      <c r="J873" s="31"/>
    </row>
    <row r="874" spans="7:10" x14ac:dyDescent="0.3">
      <c r="G874" s="28"/>
      <c r="H874" s="28"/>
      <c r="I874" s="28"/>
      <c r="J874" s="31"/>
    </row>
    <row r="875" spans="7:10" x14ac:dyDescent="0.3">
      <c r="G875" s="28"/>
      <c r="H875" s="28"/>
      <c r="I875" s="28"/>
      <c r="J875" s="31"/>
    </row>
    <row r="876" spans="7:10" x14ac:dyDescent="0.3">
      <c r="G876" s="28"/>
      <c r="H876" s="28"/>
      <c r="I876" s="28"/>
      <c r="J876" s="31"/>
    </row>
    <row r="877" spans="7:10" x14ac:dyDescent="0.3">
      <c r="G877" s="28"/>
      <c r="H877" s="28"/>
      <c r="I877" s="28"/>
      <c r="J877" s="31"/>
    </row>
    <row r="878" spans="7:10" x14ac:dyDescent="0.3">
      <c r="G878" s="28"/>
      <c r="H878" s="28"/>
      <c r="I878" s="28"/>
      <c r="J878" s="31"/>
    </row>
    <row r="879" spans="7:10" x14ac:dyDescent="0.3">
      <c r="G879" s="28"/>
      <c r="H879" s="28"/>
      <c r="I879" s="28"/>
      <c r="J879" s="31"/>
    </row>
    <row r="880" spans="7:10" x14ac:dyDescent="0.3">
      <c r="G880" s="28"/>
      <c r="H880" s="28"/>
      <c r="I880" s="28"/>
      <c r="J880" s="31"/>
    </row>
    <row r="881" spans="7:10" x14ac:dyDescent="0.3">
      <c r="G881" s="28"/>
      <c r="H881" s="28"/>
      <c r="I881" s="28"/>
      <c r="J881" s="31"/>
    </row>
    <row r="882" spans="7:10" x14ac:dyDescent="0.3">
      <c r="G882" s="28"/>
      <c r="H882" s="28"/>
      <c r="I882" s="28"/>
      <c r="J882" s="31"/>
    </row>
    <row r="883" spans="7:10" x14ac:dyDescent="0.3">
      <c r="G883" s="28"/>
      <c r="H883" s="28"/>
      <c r="I883" s="28"/>
      <c r="J883" s="31"/>
    </row>
    <row r="884" spans="7:10" x14ac:dyDescent="0.3">
      <c r="G884" s="28"/>
      <c r="H884" s="28"/>
      <c r="I884" s="28"/>
      <c r="J884" s="31"/>
    </row>
    <row r="885" spans="7:10" x14ac:dyDescent="0.3">
      <c r="G885" s="28"/>
      <c r="H885" s="28"/>
      <c r="I885" s="28"/>
      <c r="J885" s="31"/>
    </row>
    <row r="886" spans="7:10" x14ac:dyDescent="0.3">
      <c r="G886" s="28"/>
      <c r="H886" s="28"/>
      <c r="I886" s="28"/>
      <c r="J886" s="31"/>
    </row>
    <row r="887" spans="7:10" x14ac:dyDescent="0.3">
      <c r="G887" s="28"/>
      <c r="H887" s="28"/>
      <c r="I887" s="28"/>
      <c r="J887" s="31"/>
    </row>
    <row r="888" spans="7:10" x14ac:dyDescent="0.3">
      <c r="G888" s="28"/>
      <c r="H888" s="28"/>
      <c r="I888" s="28"/>
      <c r="J888" s="31"/>
    </row>
    <row r="889" spans="7:10" x14ac:dyDescent="0.3">
      <c r="G889" s="28"/>
      <c r="H889" s="28"/>
      <c r="I889" s="28"/>
      <c r="J889" s="31"/>
    </row>
    <row r="890" spans="7:10" x14ac:dyDescent="0.3">
      <c r="G890" s="28"/>
      <c r="H890" s="28"/>
      <c r="I890" s="28"/>
      <c r="J890" s="31"/>
    </row>
    <row r="891" spans="7:10" x14ac:dyDescent="0.3">
      <c r="G891" s="28"/>
      <c r="H891" s="28"/>
      <c r="I891" s="28"/>
      <c r="J891" s="31"/>
    </row>
    <row r="892" spans="7:10" x14ac:dyDescent="0.3">
      <c r="G892" s="28"/>
      <c r="H892" s="28"/>
      <c r="I892" s="28"/>
      <c r="J892" s="31"/>
    </row>
    <row r="893" spans="7:10" x14ac:dyDescent="0.3">
      <c r="G893" s="28"/>
      <c r="H893" s="28"/>
      <c r="I893" s="28"/>
      <c r="J893" s="31"/>
    </row>
    <row r="894" spans="7:10" x14ac:dyDescent="0.3">
      <c r="G894" s="28"/>
      <c r="H894" s="28"/>
      <c r="I894" s="28"/>
      <c r="J894" s="31"/>
    </row>
    <row r="895" spans="7:10" x14ac:dyDescent="0.3">
      <c r="G895" s="28"/>
      <c r="H895" s="28"/>
      <c r="I895" s="28"/>
      <c r="J895" s="31"/>
    </row>
    <row r="896" spans="7:10" x14ac:dyDescent="0.3">
      <c r="G896" s="28"/>
      <c r="H896" s="28"/>
      <c r="I896" s="28"/>
      <c r="J896" s="31"/>
    </row>
    <row r="897" spans="7:10" x14ac:dyDescent="0.3">
      <c r="G897" s="28"/>
      <c r="H897" s="28"/>
      <c r="I897" s="28"/>
      <c r="J897" s="31"/>
    </row>
    <row r="898" spans="7:10" x14ac:dyDescent="0.3">
      <c r="G898" s="28"/>
      <c r="H898" s="28"/>
      <c r="I898" s="28"/>
      <c r="J898" s="31"/>
    </row>
    <row r="899" spans="7:10" x14ac:dyDescent="0.3">
      <c r="G899" s="28"/>
      <c r="H899" s="28"/>
      <c r="I899" s="28"/>
      <c r="J899" s="31"/>
    </row>
    <row r="900" spans="7:10" x14ac:dyDescent="0.3">
      <c r="G900" s="28"/>
      <c r="H900" s="28"/>
      <c r="I900" s="28"/>
      <c r="J900" s="31"/>
    </row>
    <row r="901" spans="7:10" x14ac:dyDescent="0.3">
      <c r="G901" s="28"/>
      <c r="H901" s="28"/>
      <c r="I901" s="28"/>
      <c r="J901" s="31"/>
    </row>
    <row r="902" spans="7:10" x14ac:dyDescent="0.3">
      <c r="G902" s="28"/>
      <c r="H902" s="28"/>
      <c r="I902" s="28"/>
      <c r="J902" s="31"/>
    </row>
    <row r="903" spans="7:10" x14ac:dyDescent="0.3">
      <c r="G903" s="28"/>
      <c r="H903" s="28"/>
      <c r="I903" s="28"/>
      <c r="J903" s="31"/>
    </row>
    <row r="904" spans="7:10" x14ac:dyDescent="0.3">
      <c r="G904" s="28"/>
      <c r="H904" s="28"/>
      <c r="I904" s="28"/>
      <c r="J904" s="31"/>
    </row>
    <row r="905" spans="7:10" x14ac:dyDescent="0.3">
      <c r="G905" s="28"/>
      <c r="H905" s="28"/>
      <c r="I905" s="28"/>
      <c r="J905" s="31"/>
    </row>
    <row r="906" spans="7:10" x14ac:dyDescent="0.3">
      <c r="G906" s="28"/>
      <c r="H906" s="28"/>
      <c r="I906" s="28"/>
      <c r="J906" s="31"/>
    </row>
    <row r="907" spans="7:10" x14ac:dyDescent="0.3">
      <c r="G907" s="28"/>
      <c r="H907" s="28"/>
      <c r="I907" s="28"/>
      <c r="J907" s="31"/>
    </row>
    <row r="908" spans="7:10" x14ac:dyDescent="0.3">
      <c r="G908" s="28"/>
      <c r="H908" s="28"/>
      <c r="I908" s="28"/>
      <c r="J908" s="31"/>
    </row>
    <row r="909" spans="7:10" x14ac:dyDescent="0.3">
      <c r="G909" s="28"/>
      <c r="H909" s="28"/>
      <c r="I909" s="28"/>
      <c r="J909" s="31"/>
    </row>
    <row r="910" spans="7:10" x14ac:dyDescent="0.3">
      <c r="G910" s="28"/>
      <c r="H910" s="28"/>
      <c r="I910" s="28"/>
      <c r="J910" s="31"/>
    </row>
    <row r="911" spans="7:10" x14ac:dyDescent="0.3">
      <c r="G911" s="28"/>
      <c r="H911" s="28"/>
      <c r="I911" s="28"/>
      <c r="J911" s="31"/>
    </row>
    <row r="912" spans="7:10" x14ac:dyDescent="0.3">
      <c r="G912" s="28"/>
      <c r="H912" s="28"/>
      <c r="I912" s="28"/>
      <c r="J912" s="31"/>
    </row>
    <row r="913" spans="7:10" x14ac:dyDescent="0.3">
      <c r="G913" s="28"/>
      <c r="H913" s="28"/>
      <c r="I913" s="28"/>
      <c r="J913" s="31"/>
    </row>
    <row r="914" spans="7:10" x14ac:dyDescent="0.3">
      <c r="G914" s="28"/>
      <c r="H914" s="28"/>
      <c r="I914" s="28"/>
      <c r="J914" s="31"/>
    </row>
    <row r="915" spans="7:10" x14ac:dyDescent="0.3">
      <c r="G915" s="28"/>
      <c r="H915" s="28"/>
      <c r="I915" s="28"/>
      <c r="J915" s="31"/>
    </row>
    <row r="916" spans="7:10" x14ac:dyDescent="0.3">
      <c r="G916" s="28"/>
      <c r="H916" s="28"/>
      <c r="I916" s="28"/>
      <c r="J916" s="31"/>
    </row>
    <row r="917" spans="7:10" x14ac:dyDescent="0.3">
      <c r="G917" s="28"/>
      <c r="H917" s="28"/>
      <c r="I917" s="28"/>
      <c r="J917" s="31"/>
    </row>
    <row r="918" spans="7:10" x14ac:dyDescent="0.3">
      <c r="G918" s="28"/>
      <c r="H918" s="28"/>
      <c r="I918" s="28"/>
      <c r="J918" s="31"/>
    </row>
    <row r="919" spans="7:10" x14ac:dyDescent="0.3">
      <c r="G919" s="28"/>
      <c r="H919" s="28"/>
      <c r="I919" s="28"/>
      <c r="J919" s="31"/>
    </row>
    <row r="920" spans="7:10" x14ac:dyDescent="0.3">
      <c r="G920" s="28"/>
      <c r="H920" s="28"/>
      <c r="I920" s="28"/>
      <c r="J920" s="31"/>
    </row>
    <row r="921" spans="7:10" x14ac:dyDescent="0.3">
      <c r="G921" s="28"/>
      <c r="H921" s="28"/>
      <c r="I921" s="28"/>
      <c r="J921" s="31"/>
    </row>
    <row r="922" spans="7:10" x14ac:dyDescent="0.3">
      <c r="G922" s="28"/>
      <c r="H922" s="28"/>
      <c r="I922" s="28"/>
      <c r="J922" s="31"/>
    </row>
    <row r="923" spans="7:10" x14ac:dyDescent="0.3">
      <c r="G923" s="28"/>
      <c r="H923" s="28"/>
      <c r="I923" s="28"/>
      <c r="J923" s="31"/>
    </row>
    <row r="924" spans="7:10" x14ac:dyDescent="0.3">
      <c r="G924" s="28"/>
      <c r="H924" s="28"/>
      <c r="I924" s="28"/>
      <c r="J924" s="31"/>
    </row>
    <row r="925" spans="7:10" x14ac:dyDescent="0.3">
      <c r="G925" s="28"/>
      <c r="H925" s="28"/>
      <c r="I925" s="28"/>
      <c r="J925" s="31"/>
    </row>
    <row r="926" spans="7:10" x14ac:dyDescent="0.3">
      <c r="G926" s="28"/>
      <c r="H926" s="28"/>
      <c r="I926" s="28"/>
      <c r="J926" s="31"/>
    </row>
    <row r="927" spans="7:10" x14ac:dyDescent="0.3">
      <c r="G927" s="28"/>
      <c r="H927" s="28"/>
      <c r="I927" s="28"/>
      <c r="J927" s="31"/>
    </row>
    <row r="928" spans="7:10" x14ac:dyDescent="0.3">
      <c r="G928" s="28"/>
      <c r="H928" s="28"/>
      <c r="I928" s="28"/>
      <c r="J928" s="31"/>
    </row>
    <row r="929" spans="7:10" x14ac:dyDescent="0.3">
      <c r="G929" s="28"/>
      <c r="H929" s="28"/>
      <c r="I929" s="28"/>
      <c r="J929" s="31"/>
    </row>
    <row r="930" spans="7:10" x14ac:dyDescent="0.3">
      <c r="G930" s="28"/>
      <c r="H930" s="28"/>
      <c r="I930" s="28"/>
      <c r="J930" s="31"/>
    </row>
    <row r="931" spans="7:10" x14ac:dyDescent="0.3">
      <c r="G931" s="28"/>
      <c r="H931" s="28"/>
      <c r="I931" s="28"/>
      <c r="J931" s="31"/>
    </row>
    <row r="932" spans="7:10" x14ac:dyDescent="0.3">
      <c r="G932" s="28"/>
      <c r="H932" s="28"/>
      <c r="I932" s="28"/>
      <c r="J932" s="31"/>
    </row>
    <row r="933" spans="7:10" x14ac:dyDescent="0.3">
      <c r="G933" s="28"/>
      <c r="H933" s="28"/>
      <c r="I933" s="28"/>
      <c r="J933" s="31"/>
    </row>
    <row r="934" spans="7:10" x14ac:dyDescent="0.3">
      <c r="G934" s="28"/>
      <c r="H934" s="28"/>
      <c r="I934" s="28"/>
      <c r="J934" s="31"/>
    </row>
    <row r="935" spans="7:10" x14ac:dyDescent="0.3">
      <c r="G935" s="28"/>
      <c r="H935" s="28"/>
      <c r="I935" s="28"/>
      <c r="J935" s="31"/>
    </row>
    <row r="936" spans="7:10" x14ac:dyDescent="0.3">
      <c r="G936" s="28"/>
      <c r="H936" s="28"/>
      <c r="I936" s="28"/>
      <c r="J936" s="31"/>
    </row>
    <row r="937" spans="7:10" x14ac:dyDescent="0.3">
      <c r="G937" s="28"/>
      <c r="H937" s="28"/>
      <c r="I937" s="28"/>
      <c r="J937" s="31"/>
    </row>
    <row r="938" spans="7:10" x14ac:dyDescent="0.3">
      <c r="G938" s="28"/>
      <c r="H938" s="28"/>
      <c r="I938" s="28"/>
      <c r="J938" s="31"/>
    </row>
    <row r="939" spans="7:10" x14ac:dyDescent="0.3">
      <c r="G939" s="28"/>
      <c r="H939" s="28"/>
      <c r="I939" s="28"/>
      <c r="J939" s="31"/>
    </row>
    <row r="940" spans="7:10" x14ac:dyDescent="0.3">
      <c r="G940" s="28"/>
      <c r="H940" s="28"/>
      <c r="I940" s="28"/>
      <c r="J940" s="31"/>
    </row>
    <row r="941" spans="7:10" x14ac:dyDescent="0.3">
      <c r="G941" s="28"/>
      <c r="H941" s="28"/>
      <c r="I941" s="28"/>
      <c r="J941" s="31"/>
    </row>
    <row r="942" spans="7:10" x14ac:dyDescent="0.3">
      <c r="G942" s="28"/>
      <c r="H942" s="28"/>
      <c r="I942" s="28"/>
      <c r="J942" s="31"/>
    </row>
    <row r="943" spans="7:10" x14ac:dyDescent="0.3">
      <c r="G943" s="28"/>
      <c r="H943" s="28"/>
      <c r="I943" s="28"/>
      <c r="J943" s="31"/>
    </row>
    <row r="944" spans="7:10" x14ac:dyDescent="0.3">
      <c r="G944" s="28"/>
      <c r="H944" s="28"/>
      <c r="I944" s="28"/>
      <c r="J944" s="31"/>
    </row>
    <row r="945" spans="7:10" x14ac:dyDescent="0.3">
      <c r="G945" s="28"/>
      <c r="H945" s="28"/>
      <c r="I945" s="28"/>
      <c r="J945" s="31"/>
    </row>
    <row r="946" spans="7:10" x14ac:dyDescent="0.3">
      <c r="G946" s="28"/>
      <c r="H946" s="28"/>
      <c r="I946" s="28"/>
      <c r="J946" s="31"/>
    </row>
    <row r="947" spans="7:10" x14ac:dyDescent="0.3">
      <c r="G947" s="28"/>
      <c r="H947" s="28"/>
      <c r="I947" s="28"/>
      <c r="J947" s="31"/>
    </row>
    <row r="948" spans="7:10" x14ac:dyDescent="0.3">
      <c r="G948" s="28"/>
      <c r="H948" s="28"/>
      <c r="I948" s="28"/>
      <c r="J948" s="31"/>
    </row>
    <row r="949" spans="7:10" x14ac:dyDescent="0.3">
      <c r="G949" s="28"/>
      <c r="H949" s="28"/>
      <c r="I949" s="28"/>
      <c r="J949" s="31"/>
    </row>
    <row r="950" spans="7:10" x14ac:dyDescent="0.3">
      <c r="G950" s="28"/>
      <c r="H950" s="28"/>
      <c r="I950" s="28"/>
      <c r="J950" s="31"/>
    </row>
    <row r="951" spans="7:10" x14ac:dyDescent="0.3">
      <c r="G951" s="28"/>
      <c r="H951" s="28"/>
      <c r="I951" s="28"/>
      <c r="J951" s="31"/>
    </row>
    <row r="952" spans="7:10" x14ac:dyDescent="0.3">
      <c r="G952" s="28"/>
      <c r="H952" s="28"/>
      <c r="I952" s="28"/>
      <c r="J952" s="31"/>
    </row>
    <row r="953" spans="7:10" x14ac:dyDescent="0.3">
      <c r="G953" s="28"/>
      <c r="H953" s="28"/>
      <c r="I953" s="28"/>
      <c r="J953" s="31"/>
    </row>
    <row r="954" spans="7:10" x14ac:dyDescent="0.3">
      <c r="G954" s="28"/>
      <c r="H954" s="28"/>
      <c r="I954" s="28"/>
      <c r="J954" s="31"/>
    </row>
    <row r="955" spans="7:10" x14ac:dyDescent="0.3">
      <c r="G955" s="28"/>
      <c r="H955" s="28"/>
      <c r="I955" s="28"/>
      <c r="J955" s="31"/>
    </row>
    <row r="956" spans="7:10" x14ac:dyDescent="0.3">
      <c r="G956" s="28"/>
      <c r="H956" s="28"/>
      <c r="I956" s="28"/>
      <c r="J956" s="31"/>
    </row>
    <row r="957" spans="7:10" x14ac:dyDescent="0.3">
      <c r="G957" s="28"/>
      <c r="H957" s="28"/>
      <c r="I957" s="28"/>
      <c r="J957" s="31"/>
    </row>
    <row r="958" spans="7:10" x14ac:dyDescent="0.3">
      <c r="G958" s="28"/>
      <c r="H958" s="28"/>
      <c r="I958" s="28"/>
      <c r="J958" s="31"/>
    </row>
    <row r="959" spans="7:10" x14ac:dyDescent="0.3">
      <c r="G959" s="28"/>
      <c r="H959" s="28"/>
      <c r="I959" s="28"/>
      <c r="J959" s="31"/>
    </row>
    <row r="960" spans="7:10" x14ac:dyDescent="0.3">
      <c r="G960" s="28"/>
      <c r="H960" s="28"/>
      <c r="I960" s="28"/>
      <c r="J960" s="31"/>
    </row>
    <row r="961" spans="7:10" x14ac:dyDescent="0.3">
      <c r="G961" s="28"/>
      <c r="H961" s="28"/>
      <c r="I961" s="28"/>
      <c r="J961" s="31"/>
    </row>
    <row r="962" spans="7:10" x14ac:dyDescent="0.3">
      <c r="G962" s="28"/>
      <c r="H962" s="28"/>
      <c r="I962" s="28"/>
      <c r="J962" s="31"/>
    </row>
    <row r="963" spans="7:10" x14ac:dyDescent="0.3">
      <c r="G963" s="28"/>
      <c r="H963" s="28"/>
      <c r="I963" s="28"/>
      <c r="J963" s="31"/>
    </row>
    <row r="964" spans="7:10" x14ac:dyDescent="0.3">
      <c r="G964" s="28"/>
      <c r="H964" s="28"/>
      <c r="I964" s="28"/>
      <c r="J964" s="31"/>
    </row>
    <row r="965" spans="7:10" x14ac:dyDescent="0.3">
      <c r="G965" s="28"/>
      <c r="H965" s="28"/>
      <c r="I965" s="28"/>
      <c r="J965" s="31"/>
    </row>
    <row r="966" spans="7:10" x14ac:dyDescent="0.3">
      <c r="G966" s="28"/>
      <c r="H966" s="28"/>
      <c r="I966" s="28"/>
      <c r="J966" s="31"/>
    </row>
    <row r="967" spans="7:10" x14ac:dyDescent="0.3">
      <c r="G967" s="28"/>
      <c r="H967" s="28"/>
      <c r="I967" s="28"/>
      <c r="J967" s="31"/>
    </row>
    <row r="968" spans="7:10" x14ac:dyDescent="0.3">
      <c r="G968" s="28"/>
      <c r="H968" s="28"/>
      <c r="I968" s="28"/>
      <c r="J968" s="31"/>
    </row>
    <row r="969" spans="7:10" x14ac:dyDescent="0.3">
      <c r="G969" s="28"/>
      <c r="H969" s="28"/>
      <c r="I969" s="28"/>
      <c r="J969" s="31"/>
    </row>
    <row r="970" spans="7:10" x14ac:dyDescent="0.3">
      <c r="G970" s="28"/>
      <c r="H970" s="28"/>
      <c r="I970" s="28"/>
      <c r="J970" s="31"/>
    </row>
    <row r="971" spans="7:10" x14ac:dyDescent="0.3">
      <c r="G971" s="28"/>
      <c r="H971" s="28"/>
      <c r="I971" s="28"/>
      <c r="J971" s="31"/>
    </row>
    <row r="972" spans="7:10" x14ac:dyDescent="0.3">
      <c r="G972" s="28"/>
      <c r="H972" s="28"/>
      <c r="I972" s="28"/>
      <c r="J972" s="31"/>
    </row>
    <row r="973" spans="7:10" x14ac:dyDescent="0.3">
      <c r="G973" s="28"/>
      <c r="H973" s="28"/>
      <c r="I973" s="28"/>
      <c r="J973" s="31"/>
    </row>
    <row r="974" spans="7:10" x14ac:dyDescent="0.3">
      <c r="G974" s="28"/>
      <c r="H974" s="28"/>
      <c r="I974" s="28"/>
      <c r="J974" s="31"/>
    </row>
    <row r="975" spans="7:10" x14ac:dyDescent="0.3">
      <c r="G975" s="28"/>
      <c r="H975" s="28"/>
      <c r="I975" s="28"/>
      <c r="J975" s="31"/>
    </row>
    <row r="976" spans="7:10" x14ac:dyDescent="0.3">
      <c r="G976" s="28"/>
      <c r="H976" s="28"/>
      <c r="I976" s="28"/>
      <c r="J976" s="31"/>
    </row>
    <row r="977" spans="7:10" x14ac:dyDescent="0.3">
      <c r="G977" s="28"/>
      <c r="H977" s="28"/>
      <c r="I977" s="28"/>
      <c r="J977" s="31"/>
    </row>
    <row r="978" spans="7:10" x14ac:dyDescent="0.3">
      <c r="G978" s="28"/>
      <c r="H978" s="28"/>
      <c r="I978" s="28"/>
      <c r="J978" s="31"/>
    </row>
    <row r="979" spans="7:10" x14ac:dyDescent="0.3">
      <c r="G979" s="28"/>
      <c r="H979" s="28"/>
      <c r="I979" s="28"/>
      <c r="J979" s="31"/>
    </row>
    <row r="980" spans="7:10" x14ac:dyDescent="0.3">
      <c r="G980" s="28"/>
      <c r="H980" s="28"/>
      <c r="I980" s="28"/>
      <c r="J980" s="31"/>
    </row>
    <row r="981" spans="7:10" x14ac:dyDescent="0.3">
      <c r="G981" s="28"/>
      <c r="H981" s="28"/>
      <c r="I981" s="28"/>
      <c r="J981" s="31"/>
    </row>
    <row r="982" spans="7:10" x14ac:dyDescent="0.3">
      <c r="G982" s="28"/>
      <c r="H982" s="28"/>
      <c r="I982" s="28"/>
      <c r="J982" s="31"/>
    </row>
    <row r="983" spans="7:10" x14ac:dyDescent="0.3">
      <c r="G983" s="28"/>
      <c r="H983" s="28"/>
      <c r="I983" s="28"/>
      <c r="J983" s="31"/>
    </row>
    <row r="984" spans="7:10" x14ac:dyDescent="0.3">
      <c r="G984" s="28"/>
      <c r="H984" s="28"/>
      <c r="I984" s="28"/>
      <c r="J984" s="31"/>
    </row>
    <row r="985" spans="7:10" x14ac:dyDescent="0.3">
      <c r="G985" s="28"/>
      <c r="H985" s="28"/>
      <c r="I985" s="28"/>
      <c r="J985" s="31"/>
    </row>
    <row r="986" spans="7:10" x14ac:dyDescent="0.3">
      <c r="G986" s="28"/>
      <c r="H986" s="28"/>
      <c r="I986" s="28"/>
      <c r="J986" s="31"/>
    </row>
    <row r="987" spans="7:10" x14ac:dyDescent="0.3">
      <c r="G987" s="28"/>
      <c r="H987" s="28"/>
      <c r="I987" s="28"/>
      <c r="J987" s="31"/>
    </row>
    <row r="988" spans="7:10" x14ac:dyDescent="0.3">
      <c r="G988" s="28"/>
      <c r="H988" s="28"/>
      <c r="I988" s="28"/>
      <c r="J988" s="31"/>
    </row>
    <row r="989" spans="7:10" x14ac:dyDescent="0.3">
      <c r="G989" s="28"/>
      <c r="H989" s="28"/>
      <c r="I989" s="28"/>
      <c r="J989" s="31"/>
    </row>
    <row r="990" spans="7:10" x14ac:dyDescent="0.3">
      <c r="G990" s="28"/>
      <c r="H990" s="28"/>
      <c r="I990" s="28"/>
      <c r="J990" s="31"/>
    </row>
    <row r="991" spans="7:10" x14ac:dyDescent="0.3">
      <c r="G991" s="28"/>
      <c r="H991" s="28"/>
      <c r="I991" s="28"/>
      <c r="J991" s="31"/>
    </row>
    <row r="992" spans="7:10" x14ac:dyDescent="0.3">
      <c r="G992" s="28"/>
      <c r="H992" s="28"/>
      <c r="I992" s="28"/>
      <c r="J992" s="31"/>
    </row>
    <row r="993" spans="7:10" x14ac:dyDescent="0.3">
      <c r="G993" s="28"/>
      <c r="H993" s="28"/>
      <c r="I993" s="28"/>
      <c r="J993" s="31"/>
    </row>
    <row r="994" spans="7:10" x14ac:dyDescent="0.3">
      <c r="G994" s="28"/>
      <c r="H994" s="28"/>
      <c r="I994" s="28"/>
      <c r="J994" s="31"/>
    </row>
    <row r="995" spans="7:10" x14ac:dyDescent="0.3">
      <c r="G995" s="28"/>
      <c r="H995" s="28"/>
      <c r="I995" s="28"/>
      <c r="J995" s="31"/>
    </row>
    <row r="996" spans="7:10" x14ac:dyDescent="0.3">
      <c r="G996" s="28"/>
      <c r="H996" s="28"/>
      <c r="I996" s="28"/>
      <c r="J996" s="31"/>
    </row>
    <row r="997" spans="7:10" x14ac:dyDescent="0.3">
      <c r="G997" s="28"/>
      <c r="H997" s="28"/>
      <c r="I997" s="28"/>
      <c r="J997" s="31"/>
    </row>
    <row r="998" spans="7:10" x14ac:dyDescent="0.3">
      <c r="G998" s="28"/>
      <c r="H998" s="28"/>
      <c r="I998" s="28"/>
      <c r="J998" s="31"/>
    </row>
    <row r="999" spans="7:10" x14ac:dyDescent="0.3">
      <c r="G999" s="28"/>
      <c r="H999" s="28"/>
      <c r="I999" s="28"/>
      <c r="J999" s="31"/>
    </row>
    <row r="1000" spans="7:10" x14ac:dyDescent="0.3">
      <c r="G1000" s="28"/>
      <c r="H1000" s="28"/>
      <c r="I1000" s="28"/>
      <c r="J1000" s="31"/>
    </row>
    <row r="1001" spans="7:10" x14ac:dyDescent="0.3">
      <c r="G1001" s="28"/>
      <c r="H1001" s="28"/>
      <c r="I1001" s="28"/>
      <c r="J1001" s="31"/>
    </row>
    <row r="1002" spans="7:10" x14ac:dyDescent="0.3">
      <c r="G1002" s="28"/>
      <c r="H1002" s="28"/>
      <c r="I1002" s="28"/>
      <c r="J1002" s="31"/>
    </row>
    <row r="1003" spans="7:10" x14ac:dyDescent="0.3">
      <c r="G1003" s="28"/>
      <c r="H1003" s="28"/>
      <c r="I1003" s="28"/>
      <c r="J1003" s="31"/>
    </row>
    <row r="1004" spans="7:10" x14ac:dyDescent="0.3">
      <c r="G1004" s="28"/>
      <c r="H1004" s="28"/>
      <c r="I1004" s="28"/>
      <c r="J1004" s="31"/>
    </row>
    <row r="1005" spans="7:10" x14ac:dyDescent="0.3">
      <c r="G1005" s="28"/>
      <c r="H1005" s="28"/>
      <c r="I1005" s="28"/>
      <c r="J1005" s="31"/>
    </row>
    <row r="1006" spans="7:10" x14ac:dyDescent="0.3">
      <c r="G1006" s="28"/>
      <c r="H1006" s="28"/>
      <c r="I1006" s="28"/>
      <c r="J1006" s="31"/>
    </row>
    <row r="1007" spans="7:10" x14ac:dyDescent="0.3">
      <c r="G1007" s="28"/>
      <c r="H1007" s="28"/>
      <c r="I1007" s="28"/>
      <c r="J1007" s="31"/>
    </row>
    <row r="1008" spans="7:10" x14ac:dyDescent="0.3">
      <c r="G1008" s="28"/>
      <c r="H1008" s="28"/>
      <c r="I1008" s="28"/>
      <c r="J1008" s="31"/>
    </row>
    <row r="1009" spans="7:10" x14ac:dyDescent="0.3">
      <c r="G1009" s="28"/>
      <c r="H1009" s="28"/>
      <c r="I1009" s="28"/>
      <c r="J1009" s="31"/>
    </row>
    <row r="1010" spans="7:10" x14ac:dyDescent="0.3">
      <c r="G1010" s="28"/>
      <c r="H1010" s="28"/>
      <c r="I1010" s="28"/>
      <c r="J1010" s="31"/>
    </row>
    <row r="1011" spans="7:10" x14ac:dyDescent="0.3">
      <c r="G1011" s="28"/>
      <c r="H1011" s="28"/>
      <c r="I1011" s="28"/>
      <c r="J1011" s="31"/>
    </row>
    <row r="1012" spans="7:10" x14ac:dyDescent="0.3">
      <c r="G1012" s="28"/>
      <c r="H1012" s="28"/>
      <c r="I1012" s="28"/>
      <c r="J1012" s="31"/>
    </row>
    <row r="1013" spans="7:10" x14ac:dyDescent="0.3">
      <c r="G1013" s="28"/>
      <c r="H1013" s="28"/>
      <c r="I1013" s="28"/>
      <c r="J1013" s="31"/>
    </row>
    <row r="1014" spans="7:10" x14ac:dyDescent="0.3">
      <c r="G1014" s="28"/>
      <c r="H1014" s="28"/>
      <c r="I1014" s="28"/>
      <c r="J1014" s="31"/>
    </row>
    <row r="1015" spans="7:10" x14ac:dyDescent="0.3">
      <c r="G1015" s="28"/>
      <c r="H1015" s="28"/>
      <c r="I1015" s="28"/>
      <c r="J1015" s="31"/>
    </row>
    <row r="1016" spans="7:10" x14ac:dyDescent="0.3">
      <c r="G1016" s="28"/>
      <c r="H1016" s="28"/>
      <c r="I1016" s="28"/>
      <c r="J1016" s="31"/>
    </row>
    <row r="1017" spans="7:10" x14ac:dyDescent="0.3">
      <c r="G1017" s="28"/>
      <c r="H1017" s="28"/>
      <c r="I1017" s="28"/>
      <c r="J1017" s="31"/>
    </row>
    <row r="1018" spans="7:10" x14ac:dyDescent="0.3">
      <c r="G1018" s="28"/>
      <c r="H1018" s="28"/>
      <c r="I1018" s="28"/>
      <c r="J1018" s="31"/>
    </row>
    <row r="1019" spans="7:10" x14ac:dyDescent="0.3">
      <c r="G1019" s="28"/>
      <c r="H1019" s="28"/>
      <c r="I1019" s="28"/>
      <c r="J1019" s="31"/>
    </row>
    <row r="1020" spans="7:10" x14ac:dyDescent="0.3">
      <c r="G1020" s="28"/>
      <c r="H1020" s="28"/>
      <c r="I1020" s="28"/>
      <c r="J1020" s="31"/>
    </row>
    <row r="1021" spans="7:10" x14ac:dyDescent="0.3">
      <c r="G1021" s="28"/>
      <c r="H1021" s="28"/>
      <c r="I1021" s="28"/>
      <c r="J1021" s="31"/>
    </row>
    <row r="1022" spans="7:10" x14ac:dyDescent="0.3">
      <c r="G1022" s="28"/>
      <c r="H1022" s="28"/>
      <c r="I1022" s="28"/>
      <c r="J1022" s="31"/>
    </row>
    <row r="1023" spans="7:10" x14ac:dyDescent="0.3">
      <c r="G1023" s="28"/>
      <c r="H1023" s="28"/>
      <c r="I1023" s="28"/>
      <c r="J1023" s="31"/>
    </row>
    <row r="1024" spans="7:10" x14ac:dyDescent="0.3">
      <c r="G1024" s="28"/>
      <c r="H1024" s="28"/>
      <c r="I1024" s="28"/>
      <c r="J1024" s="31"/>
    </row>
    <row r="1025" spans="7:10" x14ac:dyDescent="0.3">
      <c r="G1025" s="28"/>
      <c r="H1025" s="28"/>
      <c r="I1025" s="28"/>
      <c r="J1025" s="31"/>
    </row>
    <row r="1026" spans="7:10" x14ac:dyDescent="0.3">
      <c r="G1026" s="28"/>
      <c r="H1026" s="28"/>
      <c r="I1026" s="28"/>
      <c r="J1026" s="31"/>
    </row>
    <row r="1027" spans="7:10" x14ac:dyDescent="0.3">
      <c r="G1027" s="28"/>
      <c r="H1027" s="28"/>
      <c r="I1027" s="28"/>
      <c r="J1027" s="31"/>
    </row>
    <row r="1028" spans="7:10" x14ac:dyDescent="0.3">
      <c r="G1028" s="28"/>
      <c r="H1028" s="28"/>
      <c r="I1028" s="28"/>
      <c r="J1028" s="31"/>
    </row>
    <row r="1029" spans="7:10" x14ac:dyDescent="0.3">
      <c r="G1029" s="28"/>
      <c r="H1029" s="28"/>
      <c r="I1029" s="28"/>
      <c r="J1029" s="31"/>
    </row>
    <row r="1030" spans="7:10" x14ac:dyDescent="0.3">
      <c r="G1030" s="28"/>
      <c r="H1030" s="28"/>
      <c r="I1030" s="28"/>
      <c r="J1030" s="31"/>
    </row>
    <row r="1031" spans="7:10" x14ac:dyDescent="0.3">
      <c r="G1031" s="28"/>
      <c r="H1031" s="28"/>
      <c r="I1031" s="28"/>
      <c r="J1031" s="31"/>
    </row>
    <row r="1032" spans="7:10" x14ac:dyDescent="0.3">
      <c r="G1032" s="28"/>
      <c r="H1032" s="28"/>
      <c r="I1032" s="28"/>
      <c r="J1032" s="31"/>
    </row>
    <row r="1033" spans="7:10" x14ac:dyDescent="0.3">
      <c r="G1033" s="28"/>
      <c r="H1033" s="28"/>
      <c r="I1033" s="28"/>
      <c r="J1033" s="31"/>
    </row>
    <row r="1034" spans="7:10" x14ac:dyDescent="0.3">
      <c r="G1034" s="28"/>
      <c r="H1034" s="28"/>
      <c r="I1034" s="28"/>
      <c r="J1034" s="31"/>
    </row>
    <row r="1035" spans="7:10" x14ac:dyDescent="0.3">
      <c r="G1035" s="28"/>
      <c r="H1035" s="28"/>
      <c r="I1035" s="28"/>
      <c r="J1035" s="31"/>
    </row>
    <row r="1036" spans="7:10" x14ac:dyDescent="0.3">
      <c r="G1036" s="28"/>
      <c r="H1036" s="28"/>
      <c r="I1036" s="28"/>
      <c r="J1036" s="31"/>
    </row>
    <row r="1037" spans="7:10" x14ac:dyDescent="0.3">
      <c r="G1037" s="28"/>
      <c r="H1037" s="28"/>
      <c r="I1037" s="28"/>
      <c r="J1037" s="31"/>
    </row>
    <row r="1038" spans="7:10" x14ac:dyDescent="0.3">
      <c r="G1038" s="28"/>
      <c r="H1038" s="28"/>
      <c r="I1038" s="28"/>
      <c r="J1038" s="31"/>
    </row>
    <row r="1039" spans="7:10" x14ac:dyDescent="0.3">
      <c r="G1039" s="28"/>
      <c r="H1039" s="28"/>
      <c r="I1039" s="28"/>
      <c r="J1039" s="31"/>
    </row>
    <row r="1040" spans="7:10" x14ac:dyDescent="0.3">
      <c r="G1040" s="28"/>
      <c r="H1040" s="28"/>
      <c r="I1040" s="28"/>
      <c r="J1040" s="31"/>
    </row>
    <row r="1041" spans="7:10" x14ac:dyDescent="0.3">
      <c r="G1041" s="28"/>
      <c r="H1041" s="28"/>
      <c r="I1041" s="28"/>
      <c r="J1041" s="31"/>
    </row>
    <row r="1042" spans="7:10" x14ac:dyDescent="0.3">
      <c r="G1042" s="28"/>
      <c r="H1042" s="28"/>
      <c r="I1042" s="28"/>
      <c r="J1042" s="31"/>
    </row>
    <row r="1043" spans="7:10" x14ac:dyDescent="0.3">
      <c r="G1043" s="28"/>
      <c r="H1043" s="28"/>
      <c r="I1043" s="28"/>
      <c r="J1043" s="31"/>
    </row>
    <row r="1044" spans="7:10" x14ac:dyDescent="0.3">
      <c r="G1044" s="28"/>
      <c r="H1044" s="28"/>
      <c r="I1044" s="28"/>
      <c r="J1044" s="31"/>
    </row>
    <row r="1045" spans="7:10" x14ac:dyDescent="0.3">
      <c r="G1045" s="28"/>
      <c r="H1045" s="28"/>
      <c r="I1045" s="28"/>
      <c r="J1045" s="31"/>
    </row>
    <row r="1046" spans="7:10" x14ac:dyDescent="0.3">
      <c r="G1046" s="28"/>
      <c r="H1046" s="28"/>
      <c r="I1046" s="28"/>
      <c r="J1046" s="31"/>
    </row>
    <row r="1047" spans="7:10" x14ac:dyDescent="0.3">
      <c r="G1047" s="28"/>
      <c r="H1047" s="28"/>
      <c r="I1047" s="28"/>
      <c r="J1047" s="31"/>
    </row>
    <row r="1048" spans="7:10" x14ac:dyDescent="0.3">
      <c r="G1048" s="28"/>
      <c r="H1048" s="28"/>
      <c r="I1048" s="28"/>
      <c r="J1048" s="31"/>
    </row>
    <row r="1049" spans="7:10" x14ac:dyDescent="0.3">
      <c r="G1049" s="28"/>
      <c r="H1049" s="28"/>
      <c r="I1049" s="28"/>
      <c r="J1049" s="31"/>
    </row>
    <row r="1050" spans="7:10" x14ac:dyDescent="0.3">
      <c r="G1050" s="28"/>
      <c r="H1050" s="28"/>
      <c r="I1050" s="28"/>
      <c r="J1050" s="31"/>
    </row>
    <row r="1051" spans="7:10" x14ac:dyDescent="0.3">
      <c r="G1051" s="28"/>
      <c r="H1051" s="28"/>
      <c r="I1051" s="28"/>
      <c r="J1051" s="31"/>
    </row>
    <row r="1052" spans="7:10" x14ac:dyDescent="0.3">
      <c r="G1052" s="28"/>
      <c r="H1052" s="28"/>
      <c r="I1052" s="28"/>
      <c r="J1052" s="31"/>
    </row>
    <row r="1053" spans="7:10" x14ac:dyDescent="0.3">
      <c r="G1053" s="28"/>
      <c r="H1053" s="28"/>
      <c r="I1053" s="28"/>
      <c r="J1053" s="31"/>
    </row>
    <row r="1054" spans="7:10" x14ac:dyDescent="0.3">
      <c r="G1054" s="28"/>
      <c r="H1054" s="28"/>
      <c r="I1054" s="28"/>
      <c r="J1054" s="31"/>
    </row>
    <row r="1055" spans="7:10" x14ac:dyDescent="0.3">
      <c r="G1055" s="28"/>
      <c r="H1055" s="28"/>
      <c r="I1055" s="28"/>
      <c r="J1055" s="31"/>
    </row>
    <row r="1056" spans="7:10" x14ac:dyDescent="0.3">
      <c r="G1056" s="28"/>
      <c r="H1056" s="28"/>
      <c r="I1056" s="28"/>
      <c r="J1056" s="31"/>
    </row>
    <row r="1057" spans="7:10" x14ac:dyDescent="0.3">
      <c r="G1057" s="28"/>
      <c r="H1057" s="28"/>
      <c r="I1057" s="28"/>
      <c r="J1057" s="31"/>
    </row>
    <row r="1058" spans="7:10" x14ac:dyDescent="0.3">
      <c r="G1058" s="28"/>
      <c r="H1058" s="28"/>
      <c r="I1058" s="28"/>
      <c r="J1058" s="31"/>
    </row>
    <row r="1059" spans="7:10" x14ac:dyDescent="0.3">
      <c r="G1059" s="28"/>
      <c r="H1059" s="28"/>
      <c r="I1059" s="28"/>
      <c r="J1059" s="31"/>
    </row>
    <row r="1060" spans="7:10" x14ac:dyDescent="0.3">
      <c r="G1060" s="28"/>
      <c r="H1060" s="28"/>
      <c r="I1060" s="28"/>
      <c r="J1060" s="31"/>
    </row>
    <row r="1061" spans="7:10" x14ac:dyDescent="0.3">
      <c r="G1061" s="28"/>
      <c r="H1061" s="28"/>
      <c r="I1061" s="28"/>
      <c r="J1061" s="31"/>
    </row>
    <row r="1062" spans="7:10" x14ac:dyDescent="0.3">
      <c r="G1062" s="28"/>
      <c r="H1062" s="28"/>
      <c r="I1062" s="28"/>
      <c r="J1062" s="31"/>
    </row>
    <row r="1063" spans="7:10" x14ac:dyDescent="0.3">
      <c r="G1063" s="28"/>
      <c r="H1063" s="28"/>
      <c r="I1063" s="28"/>
      <c r="J1063" s="31"/>
    </row>
    <row r="1064" spans="7:10" x14ac:dyDescent="0.3">
      <c r="G1064" s="28"/>
      <c r="H1064" s="28"/>
      <c r="I1064" s="28"/>
      <c r="J1064" s="31"/>
    </row>
    <row r="1065" spans="7:10" x14ac:dyDescent="0.3">
      <c r="G1065" s="28"/>
      <c r="H1065" s="28"/>
      <c r="I1065" s="28"/>
      <c r="J1065" s="31"/>
    </row>
    <row r="1066" spans="7:10" x14ac:dyDescent="0.3">
      <c r="G1066" s="28"/>
      <c r="H1066" s="28"/>
      <c r="I1066" s="28"/>
      <c r="J1066" s="31"/>
    </row>
    <row r="1067" spans="7:10" x14ac:dyDescent="0.3">
      <c r="G1067" s="28"/>
      <c r="H1067" s="28"/>
      <c r="I1067" s="28"/>
      <c r="J1067" s="31"/>
    </row>
    <row r="1068" spans="7:10" x14ac:dyDescent="0.3">
      <c r="G1068" s="28"/>
      <c r="H1068" s="28"/>
      <c r="I1068" s="28"/>
      <c r="J1068" s="31"/>
    </row>
    <row r="1069" spans="7:10" x14ac:dyDescent="0.3">
      <c r="G1069" s="28"/>
      <c r="H1069" s="28"/>
      <c r="I1069" s="28"/>
      <c r="J1069" s="31"/>
    </row>
    <row r="1070" spans="7:10" x14ac:dyDescent="0.3">
      <c r="G1070" s="28"/>
      <c r="H1070" s="28"/>
      <c r="I1070" s="28"/>
      <c r="J1070" s="31"/>
    </row>
    <row r="1071" spans="7:10" x14ac:dyDescent="0.3">
      <c r="G1071" s="28"/>
      <c r="H1071" s="28"/>
      <c r="I1071" s="28"/>
      <c r="J1071" s="31"/>
    </row>
    <row r="1072" spans="7:10" x14ac:dyDescent="0.3">
      <c r="G1072" s="28"/>
      <c r="H1072" s="28"/>
      <c r="I1072" s="28"/>
      <c r="J1072" s="31"/>
    </row>
    <row r="1073" spans="7:10" x14ac:dyDescent="0.3">
      <c r="G1073" s="28"/>
      <c r="H1073" s="28"/>
      <c r="I1073" s="28"/>
      <c r="J1073" s="31"/>
    </row>
    <row r="1074" spans="7:10" x14ac:dyDescent="0.3">
      <c r="G1074" s="28"/>
      <c r="H1074" s="28"/>
      <c r="I1074" s="28"/>
      <c r="J1074" s="31"/>
    </row>
    <row r="1075" spans="7:10" x14ac:dyDescent="0.3">
      <c r="G1075" s="28"/>
      <c r="H1075" s="28"/>
      <c r="I1075" s="28"/>
      <c r="J1075" s="31"/>
    </row>
    <row r="1076" spans="7:10" x14ac:dyDescent="0.3">
      <c r="G1076" s="28"/>
      <c r="H1076" s="28"/>
      <c r="I1076" s="28"/>
      <c r="J1076" s="31"/>
    </row>
    <row r="1077" spans="7:10" x14ac:dyDescent="0.3">
      <c r="G1077" s="28"/>
      <c r="H1077" s="28"/>
      <c r="I1077" s="28"/>
      <c r="J1077" s="31"/>
    </row>
    <row r="1078" spans="7:10" x14ac:dyDescent="0.3">
      <c r="G1078" s="28"/>
      <c r="H1078" s="28"/>
      <c r="I1078" s="28"/>
      <c r="J1078" s="31"/>
    </row>
    <row r="1079" spans="7:10" x14ac:dyDescent="0.3">
      <c r="G1079" s="28"/>
      <c r="H1079" s="28"/>
      <c r="I1079" s="28"/>
      <c r="J1079" s="31"/>
    </row>
    <row r="1080" spans="7:10" x14ac:dyDescent="0.3">
      <c r="G1080" s="28"/>
      <c r="H1080" s="28"/>
      <c r="I1080" s="28"/>
      <c r="J1080" s="31"/>
    </row>
    <row r="1081" spans="7:10" x14ac:dyDescent="0.3">
      <c r="G1081" s="28"/>
      <c r="H1081" s="28"/>
      <c r="I1081" s="28"/>
      <c r="J1081" s="31"/>
    </row>
    <row r="1082" spans="7:10" x14ac:dyDescent="0.3">
      <c r="G1082" s="28"/>
      <c r="H1082" s="28"/>
      <c r="I1082" s="28"/>
      <c r="J1082" s="31"/>
    </row>
    <row r="1083" spans="7:10" x14ac:dyDescent="0.3">
      <c r="G1083" s="28"/>
      <c r="H1083" s="28"/>
      <c r="I1083" s="28"/>
      <c r="J1083" s="31"/>
    </row>
    <row r="1084" spans="7:10" x14ac:dyDescent="0.3">
      <c r="G1084" s="28"/>
      <c r="H1084" s="28"/>
      <c r="I1084" s="28"/>
      <c r="J1084" s="31"/>
    </row>
    <row r="1085" spans="7:10" x14ac:dyDescent="0.3">
      <c r="G1085" s="28"/>
      <c r="H1085" s="28"/>
      <c r="I1085" s="28"/>
      <c r="J1085" s="31"/>
    </row>
    <row r="1086" spans="7:10" x14ac:dyDescent="0.3">
      <c r="G1086" s="28"/>
      <c r="H1086" s="28"/>
      <c r="I1086" s="28"/>
      <c r="J1086" s="31"/>
    </row>
    <row r="1087" spans="7:10" x14ac:dyDescent="0.3">
      <c r="G1087" s="28"/>
      <c r="H1087" s="28"/>
      <c r="I1087" s="28"/>
      <c r="J1087" s="31"/>
    </row>
    <row r="1088" spans="7:10" x14ac:dyDescent="0.3">
      <c r="G1088" s="28"/>
      <c r="H1088" s="28"/>
      <c r="I1088" s="28"/>
      <c r="J1088" s="31"/>
    </row>
    <row r="1089" spans="7:10" x14ac:dyDescent="0.3">
      <c r="G1089" s="28"/>
      <c r="H1089" s="28"/>
      <c r="I1089" s="28"/>
      <c r="J1089" s="31"/>
    </row>
    <row r="1090" spans="7:10" x14ac:dyDescent="0.3">
      <c r="G1090" s="28"/>
      <c r="H1090" s="28"/>
      <c r="I1090" s="28"/>
      <c r="J1090" s="31"/>
    </row>
    <row r="1091" spans="7:10" x14ac:dyDescent="0.3">
      <c r="G1091" s="28"/>
      <c r="H1091" s="28"/>
      <c r="I1091" s="28"/>
      <c r="J1091" s="31"/>
    </row>
    <row r="1092" spans="7:10" x14ac:dyDescent="0.3">
      <c r="G1092" s="28"/>
      <c r="H1092" s="28"/>
      <c r="I1092" s="28"/>
      <c r="J1092" s="31"/>
    </row>
    <row r="1093" spans="7:10" x14ac:dyDescent="0.3">
      <c r="G1093" s="28"/>
      <c r="H1093" s="28"/>
      <c r="I1093" s="28"/>
      <c r="J1093" s="31"/>
    </row>
    <row r="1094" spans="7:10" x14ac:dyDescent="0.3">
      <c r="G1094" s="28"/>
      <c r="H1094" s="28"/>
      <c r="I1094" s="28"/>
      <c r="J1094" s="31"/>
    </row>
    <row r="1095" spans="7:10" x14ac:dyDescent="0.3">
      <c r="G1095" s="28"/>
      <c r="H1095" s="28"/>
      <c r="I1095" s="28"/>
      <c r="J1095" s="31"/>
    </row>
    <row r="1096" spans="7:10" x14ac:dyDescent="0.3">
      <c r="G1096" s="28"/>
      <c r="H1096" s="28"/>
      <c r="I1096" s="28"/>
      <c r="J1096" s="31"/>
    </row>
    <row r="1097" spans="7:10" x14ac:dyDescent="0.3">
      <c r="G1097" s="28"/>
      <c r="H1097" s="28"/>
      <c r="I1097" s="28"/>
      <c r="J1097" s="31"/>
    </row>
    <row r="1098" spans="7:10" x14ac:dyDescent="0.3">
      <c r="G1098" s="28"/>
      <c r="H1098" s="28"/>
      <c r="I1098" s="28"/>
      <c r="J1098" s="31"/>
    </row>
    <row r="1099" spans="7:10" x14ac:dyDescent="0.3">
      <c r="G1099" s="28"/>
      <c r="H1099" s="28"/>
      <c r="I1099" s="28"/>
      <c r="J1099" s="31"/>
    </row>
    <row r="1100" spans="7:10" x14ac:dyDescent="0.3">
      <c r="G1100" s="28"/>
      <c r="H1100" s="28"/>
      <c r="I1100" s="28"/>
      <c r="J1100" s="31"/>
    </row>
    <row r="1101" spans="7:10" x14ac:dyDescent="0.3">
      <c r="G1101" s="28"/>
      <c r="H1101" s="28"/>
      <c r="I1101" s="28"/>
      <c r="J1101" s="31"/>
    </row>
    <row r="1102" spans="7:10" x14ac:dyDescent="0.3">
      <c r="G1102" s="28"/>
      <c r="H1102" s="28"/>
      <c r="I1102" s="28"/>
      <c r="J1102" s="31"/>
    </row>
    <row r="1103" spans="7:10" x14ac:dyDescent="0.3">
      <c r="G1103" s="28"/>
      <c r="H1103" s="28"/>
      <c r="I1103" s="28"/>
      <c r="J1103" s="31"/>
    </row>
    <row r="1104" spans="7:10" x14ac:dyDescent="0.3">
      <c r="G1104" s="28"/>
      <c r="H1104" s="28"/>
      <c r="I1104" s="28"/>
      <c r="J1104" s="31"/>
    </row>
    <row r="1105" spans="7:10" x14ac:dyDescent="0.3">
      <c r="G1105" s="28"/>
      <c r="H1105" s="28"/>
      <c r="I1105" s="28"/>
      <c r="J1105" s="31"/>
    </row>
    <row r="1106" spans="7:10" x14ac:dyDescent="0.3">
      <c r="G1106" s="28"/>
      <c r="H1106" s="28"/>
      <c r="I1106" s="28"/>
      <c r="J1106" s="31"/>
    </row>
    <row r="1107" spans="7:10" x14ac:dyDescent="0.3">
      <c r="G1107" s="28"/>
      <c r="H1107" s="28"/>
      <c r="I1107" s="28"/>
      <c r="J1107" s="31"/>
    </row>
    <row r="1108" spans="7:10" x14ac:dyDescent="0.3">
      <c r="G1108" s="28"/>
      <c r="H1108" s="28"/>
      <c r="I1108" s="28"/>
      <c r="J1108" s="31"/>
    </row>
    <row r="1109" spans="7:10" x14ac:dyDescent="0.3">
      <c r="G1109" s="28"/>
      <c r="H1109" s="28"/>
      <c r="I1109" s="28"/>
      <c r="J1109" s="31"/>
    </row>
    <row r="1110" spans="7:10" x14ac:dyDescent="0.3">
      <c r="G1110" s="28"/>
      <c r="H1110" s="28"/>
      <c r="I1110" s="28"/>
      <c r="J1110" s="31"/>
    </row>
    <row r="1111" spans="7:10" x14ac:dyDescent="0.3">
      <c r="G1111" s="28"/>
      <c r="H1111" s="28"/>
      <c r="I1111" s="28"/>
      <c r="J1111" s="31"/>
    </row>
    <row r="1112" spans="7:10" x14ac:dyDescent="0.3">
      <c r="G1112" s="28"/>
      <c r="H1112" s="28"/>
      <c r="I1112" s="28"/>
      <c r="J1112" s="31"/>
    </row>
    <row r="1113" spans="7:10" x14ac:dyDescent="0.3">
      <c r="G1113" s="28"/>
      <c r="H1113" s="28"/>
      <c r="I1113" s="28"/>
      <c r="J1113" s="31"/>
    </row>
    <row r="1114" spans="7:10" x14ac:dyDescent="0.3">
      <c r="G1114" s="28"/>
      <c r="H1114" s="28"/>
      <c r="I1114" s="28"/>
      <c r="J1114" s="31"/>
    </row>
    <row r="1115" spans="7:10" x14ac:dyDescent="0.3">
      <c r="G1115" s="28"/>
      <c r="H1115" s="28"/>
      <c r="I1115" s="28"/>
      <c r="J1115" s="31"/>
    </row>
    <row r="1116" spans="7:10" x14ac:dyDescent="0.3">
      <c r="G1116" s="28"/>
      <c r="H1116" s="28"/>
      <c r="I1116" s="28"/>
      <c r="J1116" s="31"/>
    </row>
    <row r="1117" spans="7:10" x14ac:dyDescent="0.3">
      <c r="G1117" s="28"/>
      <c r="H1117" s="28"/>
      <c r="I1117" s="28"/>
      <c r="J1117" s="31"/>
    </row>
    <row r="1118" spans="7:10" x14ac:dyDescent="0.3">
      <c r="G1118" s="28"/>
      <c r="H1118" s="28"/>
      <c r="I1118" s="28"/>
      <c r="J1118" s="31"/>
    </row>
    <row r="1119" spans="7:10" x14ac:dyDescent="0.3">
      <c r="G1119" s="28"/>
      <c r="H1119" s="28"/>
      <c r="I1119" s="28"/>
      <c r="J1119" s="31"/>
    </row>
    <row r="1120" spans="7:10" x14ac:dyDescent="0.3">
      <c r="G1120" s="28"/>
      <c r="H1120" s="28"/>
      <c r="I1120" s="28"/>
      <c r="J1120" s="31"/>
    </row>
    <row r="1121" spans="7:10" x14ac:dyDescent="0.3">
      <c r="G1121" s="28"/>
      <c r="H1121" s="28"/>
      <c r="I1121" s="28"/>
      <c r="J1121" s="31"/>
    </row>
    <row r="1122" spans="7:10" x14ac:dyDescent="0.3">
      <c r="G1122" s="28"/>
      <c r="H1122" s="28"/>
      <c r="I1122" s="28"/>
      <c r="J1122" s="31"/>
    </row>
    <row r="1123" spans="7:10" x14ac:dyDescent="0.3">
      <c r="G1123" s="28"/>
      <c r="H1123" s="28"/>
      <c r="I1123" s="28"/>
      <c r="J1123" s="31"/>
    </row>
    <row r="1124" spans="7:10" x14ac:dyDescent="0.3">
      <c r="G1124" s="28"/>
      <c r="H1124" s="28"/>
      <c r="I1124" s="28"/>
      <c r="J1124" s="31"/>
    </row>
    <row r="1125" spans="7:10" x14ac:dyDescent="0.3">
      <c r="G1125" s="28"/>
      <c r="H1125" s="28"/>
      <c r="I1125" s="28"/>
      <c r="J1125" s="31"/>
    </row>
    <row r="1126" spans="7:10" x14ac:dyDescent="0.3">
      <c r="G1126" s="28"/>
      <c r="H1126" s="28"/>
      <c r="I1126" s="28"/>
      <c r="J1126" s="31"/>
    </row>
    <row r="1127" spans="7:10" x14ac:dyDescent="0.3">
      <c r="G1127" s="28"/>
      <c r="H1127" s="28"/>
      <c r="I1127" s="28"/>
      <c r="J1127" s="31"/>
    </row>
    <row r="1128" spans="7:10" x14ac:dyDescent="0.3">
      <c r="G1128" s="28"/>
      <c r="H1128" s="28"/>
      <c r="I1128" s="28"/>
      <c r="J1128" s="31"/>
    </row>
    <row r="1129" spans="7:10" x14ac:dyDescent="0.3">
      <c r="G1129" s="28"/>
      <c r="H1129" s="28"/>
      <c r="I1129" s="28"/>
      <c r="J1129" s="31"/>
    </row>
    <row r="1130" spans="7:10" x14ac:dyDescent="0.3">
      <c r="G1130" s="28"/>
      <c r="H1130" s="28"/>
      <c r="I1130" s="28"/>
      <c r="J1130" s="31"/>
    </row>
    <row r="1131" spans="7:10" x14ac:dyDescent="0.3">
      <c r="G1131" s="28"/>
      <c r="H1131" s="28"/>
      <c r="I1131" s="28"/>
      <c r="J1131" s="31"/>
    </row>
    <row r="1132" spans="7:10" x14ac:dyDescent="0.3">
      <c r="G1132" s="28"/>
      <c r="H1132" s="28"/>
      <c r="I1132" s="28"/>
      <c r="J1132" s="31"/>
    </row>
    <row r="1133" spans="7:10" x14ac:dyDescent="0.3">
      <c r="G1133" s="28"/>
      <c r="H1133" s="28"/>
      <c r="I1133" s="28"/>
      <c r="J1133" s="31"/>
    </row>
    <row r="1134" spans="7:10" x14ac:dyDescent="0.3">
      <c r="G1134" s="28"/>
      <c r="H1134" s="28"/>
      <c r="I1134" s="28"/>
      <c r="J1134" s="31"/>
    </row>
    <row r="1135" spans="7:10" x14ac:dyDescent="0.3">
      <c r="G1135" s="28"/>
      <c r="H1135" s="28"/>
      <c r="I1135" s="28"/>
      <c r="J1135" s="31"/>
    </row>
    <row r="1136" spans="7:10" x14ac:dyDescent="0.3">
      <c r="G1136" s="28"/>
      <c r="H1136" s="28"/>
      <c r="I1136" s="28"/>
      <c r="J1136" s="31"/>
    </row>
    <row r="1137" spans="7:10" x14ac:dyDescent="0.3">
      <c r="G1137" s="28"/>
      <c r="H1137" s="28"/>
      <c r="I1137" s="28"/>
      <c r="J1137" s="31"/>
    </row>
    <row r="1138" spans="7:10" x14ac:dyDescent="0.3">
      <c r="G1138" s="28"/>
      <c r="H1138" s="28"/>
      <c r="I1138" s="28"/>
      <c r="J1138" s="31"/>
    </row>
    <row r="1139" spans="7:10" x14ac:dyDescent="0.3">
      <c r="G1139" s="28"/>
      <c r="H1139" s="28"/>
      <c r="I1139" s="28"/>
      <c r="J1139" s="31"/>
    </row>
    <row r="1140" spans="7:10" x14ac:dyDescent="0.3">
      <c r="G1140" s="28"/>
      <c r="H1140" s="28"/>
      <c r="I1140" s="28"/>
      <c r="J1140" s="31"/>
    </row>
    <row r="1141" spans="7:10" x14ac:dyDescent="0.3">
      <c r="G1141" s="28"/>
      <c r="H1141" s="28"/>
      <c r="I1141" s="28"/>
      <c r="J1141" s="31"/>
    </row>
    <row r="1142" spans="7:10" x14ac:dyDescent="0.3">
      <c r="G1142" s="28"/>
      <c r="H1142" s="28"/>
      <c r="I1142" s="28"/>
      <c r="J1142" s="31"/>
    </row>
    <row r="1143" spans="7:10" x14ac:dyDescent="0.3">
      <c r="G1143" s="28"/>
      <c r="H1143" s="28"/>
      <c r="I1143" s="28"/>
      <c r="J1143" s="31"/>
    </row>
    <row r="1144" spans="7:10" x14ac:dyDescent="0.3">
      <c r="G1144" s="28"/>
      <c r="H1144" s="28"/>
      <c r="I1144" s="28"/>
      <c r="J1144" s="31"/>
    </row>
    <row r="1145" spans="7:10" x14ac:dyDescent="0.3">
      <c r="G1145" s="28"/>
      <c r="H1145" s="28"/>
      <c r="I1145" s="28"/>
      <c r="J1145" s="31"/>
    </row>
    <row r="1146" spans="7:10" x14ac:dyDescent="0.3">
      <c r="G1146" s="28"/>
      <c r="H1146" s="28"/>
      <c r="I1146" s="28"/>
      <c r="J1146" s="31"/>
    </row>
    <row r="1147" spans="7:10" x14ac:dyDescent="0.3">
      <c r="G1147" s="28"/>
      <c r="H1147" s="28"/>
      <c r="I1147" s="28"/>
      <c r="J1147" s="31"/>
    </row>
    <row r="1148" spans="7:10" x14ac:dyDescent="0.3">
      <c r="G1148" s="28"/>
      <c r="H1148" s="28"/>
      <c r="I1148" s="28"/>
      <c r="J1148" s="31"/>
    </row>
    <row r="1149" spans="7:10" x14ac:dyDescent="0.3">
      <c r="G1149" s="28"/>
      <c r="H1149" s="28"/>
      <c r="I1149" s="28"/>
      <c r="J1149" s="31"/>
    </row>
    <row r="1150" spans="7:10" x14ac:dyDescent="0.3">
      <c r="G1150" s="28"/>
      <c r="H1150" s="28"/>
      <c r="I1150" s="28"/>
      <c r="J1150" s="31"/>
    </row>
    <row r="1151" spans="7:10" x14ac:dyDescent="0.3">
      <c r="G1151" s="28"/>
      <c r="H1151" s="28"/>
      <c r="I1151" s="28"/>
      <c r="J1151" s="31"/>
    </row>
    <row r="1152" spans="7:10" x14ac:dyDescent="0.3">
      <c r="G1152" s="28"/>
      <c r="H1152" s="28"/>
      <c r="I1152" s="28"/>
      <c r="J1152" s="31"/>
    </row>
    <row r="1153" spans="7:10" x14ac:dyDescent="0.3">
      <c r="G1153" s="28"/>
      <c r="H1153" s="28"/>
      <c r="I1153" s="28"/>
      <c r="J1153" s="31"/>
    </row>
    <row r="1154" spans="7:10" x14ac:dyDescent="0.3">
      <c r="G1154" s="28"/>
      <c r="H1154" s="28"/>
      <c r="I1154" s="28"/>
      <c r="J1154" s="31"/>
    </row>
    <row r="1155" spans="7:10" x14ac:dyDescent="0.3">
      <c r="G1155" s="28"/>
      <c r="H1155" s="28"/>
      <c r="I1155" s="28"/>
      <c r="J1155" s="31"/>
    </row>
    <row r="1156" spans="7:10" x14ac:dyDescent="0.3">
      <c r="G1156" s="28"/>
      <c r="H1156" s="28"/>
      <c r="I1156" s="28"/>
      <c r="J1156" s="31"/>
    </row>
    <row r="1157" spans="7:10" x14ac:dyDescent="0.3">
      <c r="G1157" s="28"/>
      <c r="H1157" s="28"/>
      <c r="I1157" s="28"/>
      <c r="J1157" s="31"/>
    </row>
    <row r="1158" spans="7:10" x14ac:dyDescent="0.3">
      <c r="G1158" s="28"/>
      <c r="H1158" s="28"/>
      <c r="I1158" s="28"/>
      <c r="J1158" s="31"/>
    </row>
    <row r="1159" spans="7:10" x14ac:dyDescent="0.3">
      <c r="G1159" s="28"/>
      <c r="H1159" s="28"/>
      <c r="I1159" s="28"/>
      <c r="J1159" s="31"/>
    </row>
    <row r="1160" spans="7:10" x14ac:dyDescent="0.3">
      <c r="G1160" s="28"/>
      <c r="H1160" s="28"/>
      <c r="I1160" s="28"/>
      <c r="J1160" s="31"/>
    </row>
    <row r="1161" spans="7:10" x14ac:dyDescent="0.3">
      <c r="G1161" s="28"/>
      <c r="H1161" s="28"/>
      <c r="I1161" s="28"/>
      <c r="J1161" s="31"/>
    </row>
    <row r="1162" spans="7:10" x14ac:dyDescent="0.3">
      <c r="G1162" s="28"/>
      <c r="H1162" s="28"/>
      <c r="I1162" s="28"/>
      <c r="J1162" s="31"/>
    </row>
    <row r="1163" spans="7:10" x14ac:dyDescent="0.3">
      <c r="G1163" s="28"/>
      <c r="H1163" s="28"/>
      <c r="I1163" s="28"/>
      <c r="J1163" s="31"/>
    </row>
    <row r="1164" spans="7:10" x14ac:dyDescent="0.3">
      <c r="G1164" s="28"/>
      <c r="H1164" s="28"/>
      <c r="I1164" s="28"/>
      <c r="J1164" s="31"/>
    </row>
    <row r="1165" spans="7:10" x14ac:dyDescent="0.3">
      <c r="G1165" s="28"/>
      <c r="H1165" s="28"/>
      <c r="I1165" s="28"/>
      <c r="J1165" s="31"/>
    </row>
    <row r="1166" spans="7:10" x14ac:dyDescent="0.3">
      <c r="G1166" s="28"/>
      <c r="H1166" s="28"/>
      <c r="I1166" s="28"/>
      <c r="J1166" s="31"/>
    </row>
    <row r="1167" spans="7:10" x14ac:dyDescent="0.3">
      <c r="G1167" s="28"/>
      <c r="H1167" s="28"/>
      <c r="I1167" s="28"/>
      <c r="J1167" s="31"/>
    </row>
    <row r="1168" spans="7:10" x14ac:dyDescent="0.3">
      <c r="G1168" s="28"/>
      <c r="H1168" s="28"/>
      <c r="I1168" s="28"/>
      <c r="J1168" s="31"/>
    </row>
    <row r="1169" spans="7:10" x14ac:dyDescent="0.3">
      <c r="G1169" s="28"/>
      <c r="H1169" s="28"/>
      <c r="I1169" s="28"/>
      <c r="J1169" s="31"/>
    </row>
    <row r="1170" spans="7:10" x14ac:dyDescent="0.3">
      <c r="G1170" s="28"/>
      <c r="H1170" s="28"/>
      <c r="I1170" s="28"/>
      <c r="J1170" s="31"/>
    </row>
    <row r="1171" spans="7:10" x14ac:dyDescent="0.3">
      <c r="G1171" s="28"/>
      <c r="H1171" s="28"/>
      <c r="I1171" s="28"/>
      <c r="J1171" s="31"/>
    </row>
    <row r="1172" spans="7:10" x14ac:dyDescent="0.3">
      <c r="G1172" s="28"/>
      <c r="H1172" s="28"/>
      <c r="I1172" s="28"/>
      <c r="J1172" s="31"/>
    </row>
    <row r="1173" spans="7:10" x14ac:dyDescent="0.3">
      <c r="G1173" s="28"/>
      <c r="H1173" s="28"/>
      <c r="I1173" s="28"/>
      <c r="J1173" s="31"/>
    </row>
    <row r="1174" spans="7:10" x14ac:dyDescent="0.3">
      <c r="G1174" s="28"/>
      <c r="H1174" s="28"/>
      <c r="I1174" s="28"/>
      <c r="J1174" s="31"/>
    </row>
    <row r="1175" spans="7:10" x14ac:dyDescent="0.3">
      <c r="G1175" s="28"/>
      <c r="H1175" s="28"/>
      <c r="I1175" s="28"/>
      <c r="J1175" s="31"/>
    </row>
    <row r="1176" spans="7:10" x14ac:dyDescent="0.3">
      <c r="G1176" s="28"/>
      <c r="H1176" s="28"/>
      <c r="I1176" s="28"/>
      <c r="J1176" s="31"/>
    </row>
    <row r="1177" spans="7:10" x14ac:dyDescent="0.3">
      <c r="G1177" s="28"/>
      <c r="H1177" s="28"/>
      <c r="I1177" s="28"/>
      <c r="J1177" s="31"/>
    </row>
    <row r="1178" spans="7:10" x14ac:dyDescent="0.3">
      <c r="G1178" s="28"/>
      <c r="H1178" s="28"/>
      <c r="I1178" s="28"/>
      <c r="J1178" s="31"/>
    </row>
    <row r="1179" spans="7:10" x14ac:dyDescent="0.3">
      <c r="G1179" s="28"/>
      <c r="H1179" s="28"/>
      <c r="I1179" s="28"/>
      <c r="J1179" s="31"/>
    </row>
    <row r="1180" spans="7:10" x14ac:dyDescent="0.3">
      <c r="G1180" s="28"/>
      <c r="H1180" s="28"/>
      <c r="I1180" s="28"/>
      <c r="J1180" s="31"/>
    </row>
    <row r="1181" spans="7:10" x14ac:dyDescent="0.3">
      <c r="G1181" s="28"/>
      <c r="H1181" s="28"/>
      <c r="I1181" s="28"/>
      <c r="J1181" s="31"/>
    </row>
    <row r="1182" spans="7:10" x14ac:dyDescent="0.3">
      <c r="G1182" s="28"/>
      <c r="H1182" s="28"/>
      <c r="I1182" s="28"/>
      <c r="J1182" s="31"/>
    </row>
    <row r="1183" spans="7:10" x14ac:dyDescent="0.3">
      <c r="G1183" s="28"/>
      <c r="H1183" s="28"/>
      <c r="I1183" s="28"/>
      <c r="J1183" s="31"/>
    </row>
    <row r="1184" spans="7:10" x14ac:dyDescent="0.3">
      <c r="G1184" s="28"/>
      <c r="H1184" s="28"/>
      <c r="I1184" s="28"/>
      <c r="J1184" s="31"/>
    </row>
    <row r="1185" spans="7:10" x14ac:dyDescent="0.3">
      <c r="G1185" s="28"/>
      <c r="H1185" s="28"/>
      <c r="I1185" s="28"/>
      <c r="J1185" s="31"/>
    </row>
    <row r="1186" spans="7:10" x14ac:dyDescent="0.3">
      <c r="G1186" s="28"/>
      <c r="H1186" s="28"/>
      <c r="I1186" s="28"/>
      <c r="J1186" s="31"/>
    </row>
    <row r="1187" spans="7:10" x14ac:dyDescent="0.3">
      <c r="G1187" s="28"/>
      <c r="H1187" s="28"/>
      <c r="I1187" s="28"/>
      <c r="J1187" s="31"/>
    </row>
    <row r="1188" spans="7:10" x14ac:dyDescent="0.3">
      <c r="G1188" s="28"/>
      <c r="H1188" s="28"/>
      <c r="I1188" s="28"/>
      <c r="J1188" s="31"/>
    </row>
    <row r="1189" spans="7:10" x14ac:dyDescent="0.3">
      <c r="G1189" s="28"/>
      <c r="H1189" s="28"/>
      <c r="I1189" s="28"/>
      <c r="J1189" s="31"/>
    </row>
    <row r="1190" spans="7:10" x14ac:dyDescent="0.3">
      <c r="G1190" s="28"/>
      <c r="H1190" s="28"/>
      <c r="I1190" s="28"/>
      <c r="J1190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1190"/>
  <sheetViews>
    <sheetView workbookViewId="0">
      <selection activeCell="A18" sqref="A18"/>
    </sheetView>
  </sheetViews>
  <sheetFormatPr defaultColWidth="9.109375" defaultRowHeight="16.8" x14ac:dyDescent="0.3"/>
  <cols>
    <col min="1" max="1" width="53.5546875" style="24" customWidth="1"/>
    <col min="2" max="6" width="9.109375" style="24"/>
    <col min="7" max="7" width="14.44140625" style="24" customWidth="1"/>
    <col min="8" max="8" width="22" style="24" customWidth="1"/>
    <col min="9" max="10" width="14.44140625" style="24" customWidth="1"/>
    <col min="11" max="16384" width="9.109375" style="24"/>
  </cols>
  <sheetData>
    <row r="1" spans="1:10" x14ac:dyDescent="0.3">
      <c r="A1" s="24" t="s">
        <v>42</v>
      </c>
    </row>
    <row r="3" spans="1:10" x14ac:dyDescent="0.3">
      <c r="A3" s="26" t="s">
        <v>21</v>
      </c>
      <c r="B3" s="26">
        <v>20</v>
      </c>
      <c r="C3" s="26">
        <v>20</v>
      </c>
      <c r="D3" s="26">
        <v>20</v>
      </c>
      <c r="E3" s="26">
        <v>20</v>
      </c>
      <c r="F3" s="26">
        <v>20</v>
      </c>
      <c r="G3" s="28"/>
      <c r="H3" s="28"/>
      <c r="I3" s="28"/>
    </row>
    <row r="4" spans="1:10" x14ac:dyDescent="0.3">
      <c r="A4" s="26" t="s">
        <v>22</v>
      </c>
      <c r="B4" s="26">
        <v>12</v>
      </c>
      <c r="C4" s="26">
        <v>12</v>
      </c>
      <c r="D4" s="26">
        <v>12</v>
      </c>
      <c r="E4" s="26">
        <v>12</v>
      </c>
      <c r="F4" s="26">
        <v>12</v>
      </c>
      <c r="G4" s="28"/>
      <c r="H4" s="28"/>
      <c r="I4" s="28"/>
    </row>
    <row r="5" spans="1:10" x14ac:dyDescent="0.3">
      <c r="A5" s="26" t="s">
        <v>43</v>
      </c>
      <c r="B5" s="26">
        <v>2</v>
      </c>
      <c r="C5" s="26">
        <v>3</v>
      </c>
      <c r="D5" s="26">
        <v>4</v>
      </c>
      <c r="E5" s="26">
        <v>5</v>
      </c>
      <c r="F5" s="26">
        <v>6</v>
      </c>
      <c r="G5" s="28"/>
      <c r="H5" s="28"/>
      <c r="I5" s="28"/>
    </row>
    <row r="6" spans="1:10" x14ac:dyDescent="0.3">
      <c r="A6" s="26" t="s">
        <v>30</v>
      </c>
      <c r="B6" s="26">
        <v>6</v>
      </c>
      <c r="C6" s="26">
        <v>6</v>
      </c>
      <c r="D6" s="26">
        <v>6</v>
      </c>
      <c r="E6" s="26">
        <v>6</v>
      </c>
      <c r="F6" s="26">
        <v>6</v>
      </c>
      <c r="G6" s="28"/>
      <c r="H6" s="28"/>
      <c r="I6" s="28"/>
    </row>
    <row r="7" spans="1:10" x14ac:dyDescent="0.3">
      <c r="A7" s="26" t="s">
        <v>28</v>
      </c>
      <c r="B7" s="26"/>
      <c r="C7" s="26"/>
      <c r="D7" s="26"/>
      <c r="E7" s="26"/>
      <c r="F7" s="26"/>
      <c r="G7" s="28"/>
      <c r="H7" s="28"/>
      <c r="I7" s="28"/>
    </row>
    <row r="8" spans="1:10" x14ac:dyDescent="0.3">
      <c r="A8" s="26" t="s">
        <v>23</v>
      </c>
      <c r="B8" s="36">
        <f>Po(B5,B3,B4)</f>
        <v>9.0909090909090912E-2</v>
      </c>
      <c r="C8" s="36">
        <f>Po(C5,C3,C4)</f>
        <v>0.17266187050359708</v>
      </c>
      <c r="D8" s="36">
        <f>Po(D5,D3,D4)</f>
        <v>0.18593212001967532</v>
      </c>
      <c r="E8" s="36">
        <f>Po(E5,E3,E4)</f>
        <v>0.18834471733759625</v>
      </c>
      <c r="F8" s="36">
        <f>Po(F5,F3,F4)</f>
        <v>0.18878439047711529</v>
      </c>
      <c r="G8" s="28"/>
      <c r="H8" s="28"/>
      <c r="I8" s="28"/>
      <c r="J8" s="31"/>
    </row>
    <row r="9" spans="1:10" x14ac:dyDescent="0.3">
      <c r="A9" s="26" t="s">
        <v>24</v>
      </c>
      <c r="B9" s="36">
        <f>((B3/B4)^B5*B3*B4)/(FACT(B5-1)*(B5*B4-B3)^2)*B8</f>
        <v>3.7878787878787885</v>
      </c>
      <c r="C9" s="36">
        <f>((C3/C4)^C5*C3*C4)/(FACT(C5-1)*(C5*C4-C3)^2)*C8</f>
        <v>0.37470023980815342</v>
      </c>
      <c r="D9" s="36">
        <f>((D3/D4)^D5*D3*D4)/(FACT(D5-1)*(D5*D4-D3)^2)*D8</f>
        <v>7.3197011219637897E-2</v>
      </c>
      <c r="E9" s="36">
        <f>((E3/E4)^E5*E3*E4)/(FACT(E5-1)*(E5*E4-E3)^2)*E8</f>
        <v>1.5138303541151968E-2</v>
      </c>
      <c r="F9" s="36">
        <f>((F3/F4)^F5*F3*F4)/(FACT(F5-1)*(F5*F4-F3)^2)*F8</f>
        <v>2.9928288946568285E-3</v>
      </c>
      <c r="G9" s="28"/>
      <c r="H9" s="28"/>
      <c r="I9" s="28"/>
      <c r="J9" s="31"/>
    </row>
    <row r="10" spans="1:10" x14ac:dyDescent="0.3">
      <c r="A10" s="26" t="s">
        <v>25</v>
      </c>
      <c r="B10" s="36">
        <f>B9+B3/B4</f>
        <v>5.454545454545455</v>
      </c>
      <c r="C10" s="36">
        <f>C9+C3/C4</f>
        <v>2.0413669064748201</v>
      </c>
      <c r="D10" s="36">
        <f>D9+D3/D4</f>
        <v>1.7398636778863046</v>
      </c>
      <c r="E10" s="36">
        <f>E9+E3/E4</f>
        <v>1.6818049702078186</v>
      </c>
      <c r="F10" s="36">
        <f>F9+F3/F4</f>
        <v>1.6696594955613235</v>
      </c>
      <c r="G10" s="28"/>
      <c r="H10" s="28"/>
      <c r="I10" s="28"/>
      <c r="J10" s="31"/>
    </row>
    <row r="11" spans="1:10" x14ac:dyDescent="0.3">
      <c r="A11" s="26" t="s">
        <v>26</v>
      </c>
      <c r="B11" s="36">
        <f>B9/B3</f>
        <v>0.18939393939393942</v>
      </c>
      <c r="C11" s="36">
        <f>C9/C3</f>
        <v>1.8735011990407672E-2</v>
      </c>
      <c r="D11" s="36">
        <f>D9/D3</f>
        <v>3.6598505609818947E-3</v>
      </c>
      <c r="E11" s="36">
        <f>E9/E3</f>
        <v>7.5691517705759833E-4</v>
      </c>
      <c r="F11" s="36">
        <f>F9/F3</f>
        <v>1.4964144473284143E-4</v>
      </c>
      <c r="G11" s="28"/>
      <c r="H11" s="28"/>
      <c r="I11" s="28"/>
      <c r="J11" s="31"/>
    </row>
    <row r="12" spans="1:10" x14ac:dyDescent="0.3">
      <c r="A12" s="26" t="s">
        <v>27</v>
      </c>
      <c r="B12" s="36">
        <f>B11+1/B4</f>
        <v>0.27272727272727276</v>
      </c>
      <c r="C12" s="36">
        <f>C11+1/C4</f>
        <v>0.102068345323741</v>
      </c>
      <c r="D12" s="36">
        <f>D11+1/D4</f>
        <v>8.6993183894315221E-2</v>
      </c>
      <c r="E12" s="36">
        <f>E11+1/E4</f>
        <v>8.409024851039093E-2</v>
      </c>
      <c r="F12" s="36">
        <f>F11+1/F4</f>
        <v>8.3482974778066169E-2</v>
      </c>
      <c r="G12" s="28"/>
      <c r="H12" s="28"/>
      <c r="I12" s="28"/>
      <c r="J12" s="31"/>
    </row>
    <row r="13" spans="1:10" x14ac:dyDescent="0.3">
      <c r="A13" s="26" t="s">
        <v>31</v>
      </c>
      <c r="B13" s="36">
        <f>1/FACT(B5)*(B3/B4)^B5*(B5*B4/(B5*B4-B3))*B8</f>
        <v>0.75757575757575768</v>
      </c>
      <c r="C13" s="36">
        <f>1/FACT(C5)*(C3/C4)^C5*(C5*C4/(C5*C4-C3))*C8</f>
        <v>0.29976019184652275</v>
      </c>
      <c r="D13" s="36">
        <f>1/FACT(D5)*(D3/D4)^D5*(D5*D4/(D5*D4-D3))*D8</f>
        <v>0.10247581570749302</v>
      </c>
      <c r="E13" s="36">
        <f>1/FACT(E5)*(E3/E4)^E5*(E5*E4/(E5*E4-E3))*E8</f>
        <v>3.0276607082303932E-2</v>
      </c>
      <c r="F13" s="36">
        <f>1/FACT(F5)*(F3/F4)^F5*(F5*F4/(F5*F4-F3))*F8</f>
        <v>7.7813551261077547E-3</v>
      </c>
      <c r="G13" s="28"/>
      <c r="H13" s="28"/>
      <c r="I13" s="28"/>
      <c r="J13" s="31"/>
    </row>
    <row r="14" spans="1:10" x14ac:dyDescent="0.3">
      <c r="A14" s="26" t="s">
        <v>29</v>
      </c>
      <c r="B14" s="36">
        <f>IF(B6 &lt;= B5,(B3/B4)^B6*B8/FACT(B6),(B3/B4)^B6*B8/(FACT(B5)*B5^(B6-B5)))</f>
        <v>6.0890541214615318E-2</v>
      </c>
      <c r="C14" s="36">
        <f>IF(C6 &lt;= C5,(C3/C4)^C6*C8/FACT(C6),(C3/C4)^C6*C8/(FACT(C5)*C5^(C6-C5)))</f>
        <v>2.2844093266767476E-2</v>
      </c>
      <c r="D14" s="36">
        <f>IF(D6 &lt;= D5,(D3/D4)^D6*D8/FACT(D6),(D3/D4)^D6*D8/(FACT(D5)*D5^(D6-D5)))</f>
        <v>1.0378048465747271E-2</v>
      </c>
      <c r="E14" s="36">
        <f>IF(E6 &lt;= E5,(E3/E4)^E6*E8/FACT(E6),(E3/E4)^E6*E8/(FACT(E5)*E5^(E6-E5)))</f>
        <v>6.7281349071786527E-3</v>
      </c>
      <c r="F14" s="36">
        <f>IF(F6 &lt;= F5,(F3/F4)^F6*F8/FACT(F6),(F3/F4)^F6*F8/(FACT(F5)*F5^(F6-F5)))</f>
        <v>5.6198675910778227E-3</v>
      </c>
      <c r="G14" s="28"/>
      <c r="H14" s="28"/>
      <c r="I14" s="28"/>
      <c r="J14" s="31"/>
    </row>
    <row r="15" spans="1:10" x14ac:dyDescent="0.3">
      <c r="A15" s="32" t="s">
        <v>35</v>
      </c>
      <c r="B15" s="36">
        <f>B3/(B4*B5)</f>
        <v>0.83333333333333337</v>
      </c>
      <c r="C15" s="36">
        <f>C3/(C4*C5)</f>
        <v>0.55555555555555558</v>
      </c>
      <c r="D15" s="36">
        <f>D3/(D4*D5)</f>
        <v>0.41666666666666669</v>
      </c>
      <c r="E15" s="36">
        <f>E3/(E4*E5)</f>
        <v>0.33333333333333331</v>
      </c>
      <c r="F15" s="36">
        <f>F3/(F4*F5)</f>
        <v>0.27777777777777779</v>
      </c>
      <c r="G15" s="28"/>
      <c r="H15" s="28"/>
      <c r="I15" s="28"/>
      <c r="J15" s="31"/>
    </row>
    <row r="16" spans="1:10" x14ac:dyDescent="0.3">
      <c r="D16" s="31"/>
      <c r="G16" s="28"/>
      <c r="H16" s="28"/>
      <c r="I16" s="28"/>
      <c r="J16" s="31"/>
    </row>
    <row r="17" spans="4:10" x14ac:dyDescent="0.3">
      <c r="D17" s="31"/>
      <c r="G17" s="28"/>
      <c r="H17" s="28"/>
      <c r="I17" s="28"/>
      <c r="J17" s="31"/>
    </row>
    <row r="18" spans="4:10" x14ac:dyDescent="0.3">
      <c r="D18" s="31"/>
      <c r="G18" s="28"/>
      <c r="H18" s="28"/>
      <c r="I18" s="28"/>
      <c r="J18" s="31"/>
    </row>
    <row r="19" spans="4:10" x14ac:dyDescent="0.3">
      <c r="D19" s="31"/>
      <c r="G19" s="28"/>
      <c r="H19" s="28"/>
      <c r="I19" s="28"/>
      <c r="J19" s="31"/>
    </row>
    <row r="20" spans="4:10" x14ac:dyDescent="0.3">
      <c r="D20" s="31"/>
      <c r="G20" s="28"/>
      <c r="H20" s="28"/>
      <c r="I20" s="28"/>
      <c r="J20" s="31"/>
    </row>
    <row r="21" spans="4:10" x14ac:dyDescent="0.3">
      <c r="D21" s="31"/>
      <c r="G21" s="28"/>
      <c r="H21" s="28"/>
      <c r="I21" s="28"/>
      <c r="J21" s="31"/>
    </row>
    <row r="22" spans="4:10" x14ac:dyDescent="0.3">
      <c r="D22" s="31"/>
      <c r="G22" s="28"/>
      <c r="H22" s="28"/>
      <c r="I22" s="28"/>
      <c r="J22" s="31"/>
    </row>
    <row r="23" spans="4:10" x14ac:dyDescent="0.3">
      <c r="G23" s="28"/>
      <c r="H23" s="28"/>
      <c r="I23" s="28"/>
      <c r="J23" s="31"/>
    </row>
    <row r="24" spans="4:10" x14ac:dyDescent="0.3">
      <c r="G24" s="28"/>
      <c r="H24" s="28"/>
      <c r="I24" s="28"/>
      <c r="J24" s="31"/>
    </row>
    <row r="25" spans="4:10" x14ac:dyDescent="0.3">
      <c r="G25" s="28"/>
      <c r="H25" s="28"/>
      <c r="I25" s="28"/>
      <c r="J25" s="31"/>
    </row>
    <row r="26" spans="4:10" x14ac:dyDescent="0.3">
      <c r="G26" s="28"/>
      <c r="H26" s="28"/>
      <c r="I26" s="28"/>
      <c r="J26" s="31"/>
    </row>
    <row r="27" spans="4:10" x14ac:dyDescent="0.3">
      <c r="G27" s="28"/>
      <c r="H27" s="28"/>
      <c r="I27" s="28"/>
      <c r="J27" s="31"/>
    </row>
    <row r="28" spans="4:10" x14ac:dyDescent="0.3">
      <c r="G28" s="28"/>
      <c r="H28" s="28"/>
      <c r="I28" s="28"/>
      <c r="J28" s="31"/>
    </row>
    <row r="29" spans="4:10" x14ac:dyDescent="0.3">
      <c r="G29" s="28"/>
      <c r="H29" s="28"/>
      <c r="I29" s="28"/>
      <c r="J29" s="31"/>
    </row>
    <row r="30" spans="4:10" x14ac:dyDescent="0.3">
      <c r="G30" s="28"/>
      <c r="H30" s="28"/>
      <c r="I30" s="28"/>
      <c r="J30" s="31"/>
    </row>
    <row r="31" spans="4:10" x14ac:dyDescent="0.3">
      <c r="G31" s="28"/>
      <c r="H31" s="28"/>
      <c r="I31" s="28"/>
      <c r="J31" s="31"/>
    </row>
    <row r="32" spans="4:10" x14ac:dyDescent="0.3">
      <c r="G32" s="28"/>
      <c r="H32" s="28"/>
      <c r="I32" s="28"/>
      <c r="J32" s="31"/>
    </row>
    <row r="33" spans="7:10" x14ac:dyDescent="0.3">
      <c r="G33" s="28"/>
      <c r="H33" s="28"/>
      <c r="I33" s="28"/>
      <c r="J33" s="31"/>
    </row>
    <row r="34" spans="7:10" x14ac:dyDescent="0.3">
      <c r="G34" s="28"/>
      <c r="H34" s="28"/>
      <c r="I34" s="28"/>
      <c r="J34" s="31"/>
    </row>
    <row r="35" spans="7:10" x14ac:dyDescent="0.3">
      <c r="G35" s="28"/>
      <c r="H35" s="28"/>
      <c r="I35" s="28"/>
      <c r="J35" s="31"/>
    </row>
    <row r="36" spans="7:10" x14ac:dyDescent="0.3">
      <c r="G36" s="28"/>
      <c r="H36" s="28"/>
      <c r="I36" s="28"/>
      <c r="J36" s="31"/>
    </row>
    <row r="37" spans="7:10" x14ac:dyDescent="0.3">
      <c r="G37" s="28"/>
      <c r="H37" s="28"/>
      <c r="I37" s="28"/>
      <c r="J37" s="31"/>
    </row>
    <row r="38" spans="7:10" x14ac:dyDescent="0.3">
      <c r="G38" s="28"/>
      <c r="H38" s="28"/>
      <c r="I38" s="28"/>
      <c r="J38" s="31"/>
    </row>
    <row r="39" spans="7:10" x14ac:dyDescent="0.3">
      <c r="G39" s="28"/>
      <c r="H39" s="28"/>
      <c r="I39" s="28"/>
      <c r="J39" s="31"/>
    </row>
    <row r="40" spans="7:10" x14ac:dyDescent="0.3">
      <c r="G40" s="28"/>
      <c r="H40" s="28"/>
      <c r="I40" s="28"/>
      <c r="J40" s="31"/>
    </row>
    <row r="41" spans="7:10" x14ac:dyDescent="0.3">
      <c r="G41" s="28"/>
      <c r="H41" s="28"/>
      <c r="I41" s="28"/>
      <c r="J41" s="31"/>
    </row>
    <row r="42" spans="7:10" x14ac:dyDescent="0.3">
      <c r="G42" s="28"/>
      <c r="H42" s="28"/>
      <c r="I42" s="28"/>
      <c r="J42" s="31"/>
    </row>
    <row r="43" spans="7:10" x14ac:dyDescent="0.3">
      <c r="G43" s="28"/>
      <c r="H43" s="28"/>
      <c r="I43" s="28"/>
      <c r="J43" s="31"/>
    </row>
    <row r="44" spans="7:10" x14ac:dyDescent="0.3">
      <c r="G44" s="28"/>
      <c r="H44" s="28"/>
      <c r="I44" s="28"/>
      <c r="J44" s="31"/>
    </row>
    <row r="45" spans="7:10" x14ac:dyDescent="0.3">
      <c r="G45" s="28"/>
      <c r="H45" s="28"/>
      <c r="I45" s="28"/>
      <c r="J45" s="31"/>
    </row>
    <row r="46" spans="7:10" x14ac:dyDescent="0.3">
      <c r="G46" s="28"/>
      <c r="H46" s="28"/>
      <c r="I46" s="28"/>
      <c r="J46" s="31"/>
    </row>
    <row r="47" spans="7:10" x14ac:dyDescent="0.3">
      <c r="G47" s="28"/>
      <c r="H47" s="28"/>
      <c r="I47" s="28"/>
      <c r="J47" s="31"/>
    </row>
    <row r="48" spans="7:10" x14ac:dyDescent="0.3">
      <c r="G48" s="28"/>
      <c r="H48" s="28"/>
      <c r="I48" s="28"/>
      <c r="J48" s="31"/>
    </row>
    <row r="49" spans="7:10" x14ac:dyDescent="0.3">
      <c r="G49" s="28"/>
      <c r="H49" s="28"/>
      <c r="I49" s="28"/>
      <c r="J49" s="31"/>
    </row>
    <row r="50" spans="7:10" x14ac:dyDescent="0.3">
      <c r="G50" s="28"/>
      <c r="H50" s="28"/>
      <c r="I50" s="28"/>
      <c r="J50" s="31"/>
    </row>
    <row r="51" spans="7:10" x14ac:dyDescent="0.3">
      <c r="G51" s="28"/>
      <c r="H51" s="28"/>
      <c r="I51" s="28"/>
      <c r="J51" s="31"/>
    </row>
    <row r="52" spans="7:10" x14ac:dyDescent="0.3">
      <c r="G52" s="28"/>
      <c r="H52" s="28"/>
      <c r="I52" s="28"/>
      <c r="J52" s="31"/>
    </row>
    <row r="53" spans="7:10" x14ac:dyDescent="0.3">
      <c r="G53" s="28"/>
      <c r="H53" s="28"/>
      <c r="I53" s="28"/>
      <c r="J53" s="31"/>
    </row>
    <row r="54" spans="7:10" x14ac:dyDescent="0.3">
      <c r="G54" s="28"/>
      <c r="H54" s="28"/>
      <c r="I54" s="28"/>
      <c r="J54" s="31"/>
    </row>
    <row r="55" spans="7:10" x14ac:dyDescent="0.3">
      <c r="G55" s="28"/>
      <c r="H55" s="28"/>
      <c r="I55" s="28"/>
      <c r="J55" s="31"/>
    </row>
    <row r="56" spans="7:10" x14ac:dyDescent="0.3">
      <c r="G56" s="28"/>
      <c r="H56" s="28"/>
      <c r="I56" s="28"/>
      <c r="J56" s="31"/>
    </row>
    <row r="57" spans="7:10" x14ac:dyDescent="0.3">
      <c r="G57" s="28"/>
      <c r="H57" s="28"/>
      <c r="I57" s="28"/>
      <c r="J57" s="31"/>
    </row>
    <row r="58" spans="7:10" x14ac:dyDescent="0.3">
      <c r="G58" s="28"/>
      <c r="H58" s="28"/>
      <c r="I58" s="28"/>
      <c r="J58" s="31"/>
    </row>
    <row r="59" spans="7:10" x14ac:dyDescent="0.3">
      <c r="G59" s="28"/>
      <c r="H59" s="28"/>
      <c r="I59" s="28"/>
      <c r="J59" s="31"/>
    </row>
    <row r="60" spans="7:10" x14ac:dyDescent="0.3">
      <c r="G60" s="28"/>
      <c r="H60" s="28"/>
      <c r="I60" s="28"/>
      <c r="J60" s="31"/>
    </row>
    <row r="61" spans="7:10" x14ac:dyDescent="0.3">
      <c r="G61" s="28"/>
      <c r="H61" s="28"/>
      <c r="I61" s="28"/>
      <c r="J61" s="31"/>
    </row>
    <row r="62" spans="7:10" x14ac:dyDescent="0.3">
      <c r="G62" s="28"/>
      <c r="H62" s="28"/>
      <c r="I62" s="28"/>
      <c r="J62" s="31"/>
    </row>
    <row r="63" spans="7:10" x14ac:dyDescent="0.3">
      <c r="G63" s="28"/>
      <c r="H63" s="28"/>
      <c r="I63" s="28"/>
      <c r="J63" s="31"/>
    </row>
    <row r="64" spans="7:10" x14ac:dyDescent="0.3">
      <c r="G64" s="28"/>
      <c r="H64" s="28"/>
      <c r="I64" s="28"/>
      <c r="J64" s="31"/>
    </row>
    <row r="65" spans="7:10" x14ac:dyDescent="0.3">
      <c r="G65" s="28"/>
      <c r="H65" s="28"/>
      <c r="I65" s="28"/>
      <c r="J65" s="31"/>
    </row>
    <row r="66" spans="7:10" x14ac:dyDescent="0.3">
      <c r="G66" s="28"/>
      <c r="H66" s="28"/>
      <c r="I66" s="28"/>
      <c r="J66" s="31"/>
    </row>
    <row r="67" spans="7:10" x14ac:dyDescent="0.3">
      <c r="G67" s="28"/>
      <c r="H67" s="28"/>
      <c r="I67" s="28"/>
      <c r="J67" s="31"/>
    </row>
    <row r="68" spans="7:10" x14ac:dyDescent="0.3">
      <c r="G68" s="28"/>
      <c r="H68" s="28"/>
      <c r="I68" s="28"/>
      <c r="J68" s="31"/>
    </row>
    <row r="69" spans="7:10" x14ac:dyDescent="0.3">
      <c r="G69" s="28"/>
      <c r="H69" s="28"/>
      <c r="I69" s="28"/>
      <c r="J69" s="31"/>
    </row>
    <row r="70" spans="7:10" x14ac:dyDescent="0.3">
      <c r="G70" s="28"/>
      <c r="H70" s="28"/>
      <c r="I70" s="28"/>
      <c r="J70" s="31"/>
    </row>
    <row r="71" spans="7:10" x14ac:dyDescent="0.3">
      <c r="G71" s="28"/>
      <c r="H71" s="28"/>
      <c r="I71" s="28"/>
      <c r="J71" s="31"/>
    </row>
    <row r="72" spans="7:10" x14ac:dyDescent="0.3">
      <c r="G72" s="28"/>
      <c r="H72" s="28"/>
      <c r="I72" s="28"/>
      <c r="J72" s="31"/>
    </row>
    <row r="73" spans="7:10" x14ac:dyDescent="0.3">
      <c r="G73" s="28"/>
      <c r="H73" s="28"/>
      <c r="I73" s="28"/>
      <c r="J73" s="31"/>
    </row>
    <row r="74" spans="7:10" x14ac:dyDescent="0.3">
      <c r="G74" s="28"/>
      <c r="H74" s="28"/>
      <c r="I74" s="28"/>
      <c r="J74" s="31"/>
    </row>
    <row r="75" spans="7:10" x14ac:dyDescent="0.3">
      <c r="G75" s="28"/>
      <c r="H75" s="28"/>
      <c r="I75" s="28"/>
      <c r="J75" s="31"/>
    </row>
    <row r="76" spans="7:10" x14ac:dyDescent="0.3">
      <c r="G76" s="28"/>
      <c r="H76" s="28"/>
      <c r="I76" s="28"/>
      <c r="J76" s="31"/>
    </row>
    <row r="77" spans="7:10" x14ac:dyDescent="0.3">
      <c r="G77" s="28"/>
      <c r="H77" s="28"/>
      <c r="I77" s="28"/>
      <c r="J77" s="31"/>
    </row>
    <row r="78" spans="7:10" x14ac:dyDescent="0.3">
      <c r="G78" s="28"/>
      <c r="H78" s="28"/>
      <c r="I78" s="28"/>
      <c r="J78" s="31"/>
    </row>
    <row r="79" spans="7:10" x14ac:dyDescent="0.3">
      <c r="G79" s="28"/>
      <c r="H79" s="28"/>
      <c r="I79" s="28"/>
      <c r="J79" s="31"/>
    </row>
    <row r="80" spans="7:10" x14ac:dyDescent="0.3">
      <c r="G80" s="28"/>
      <c r="H80" s="28"/>
      <c r="I80" s="28"/>
      <c r="J80" s="31"/>
    </row>
    <row r="81" spans="7:10" x14ac:dyDescent="0.3">
      <c r="G81" s="28"/>
      <c r="H81" s="28"/>
      <c r="I81" s="28"/>
      <c r="J81" s="31"/>
    </row>
    <row r="82" spans="7:10" x14ac:dyDescent="0.3">
      <c r="G82" s="28"/>
      <c r="H82" s="28"/>
      <c r="I82" s="28"/>
      <c r="J82" s="31"/>
    </row>
    <row r="83" spans="7:10" x14ac:dyDescent="0.3">
      <c r="G83" s="28"/>
      <c r="H83" s="28"/>
      <c r="I83" s="28"/>
      <c r="J83" s="31"/>
    </row>
    <row r="84" spans="7:10" x14ac:dyDescent="0.3">
      <c r="G84" s="28"/>
      <c r="H84" s="28"/>
      <c r="I84" s="28"/>
      <c r="J84" s="31"/>
    </row>
    <row r="85" spans="7:10" x14ac:dyDescent="0.3">
      <c r="G85" s="28"/>
      <c r="H85" s="28"/>
      <c r="I85" s="28"/>
      <c r="J85" s="31"/>
    </row>
    <row r="86" spans="7:10" x14ac:dyDescent="0.3">
      <c r="G86" s="28"/>
      <c r="H86" s="28"/>
      <c r="I86" s="28"/>
      <c r="J86" s="31"/>
    </row>
    <row r="87" spans="7:10" x14ac:dyDescent="0.3">
      <c r="G87" s="28"/>
      <c r="H87" s="28"/>
      <c r="I87" s="28"/>
      <c r="J87" s="31"/>
    </row>
    <row r="88" spans="7:10" x14ac:dyDescent="0.3">
      <c r="G88" s="28"/>
      <c r="H88" s="28"/>
      <c r="I88" s="28"/>
      <c r="J88" s="31"/>
    </row>
    <row r="89" spans="7:10" x14ac:dyDescent="0.3">
      <c r="G89" s="28"/>
      <c r="H89" s="28"/>
      <c r="I89" s="28"/>
      <c r="J89" s="31"/>
    </row>
    <row r="90" spans="7:10" x14ac:dyDescent="0.3">
      <c r="G90" s="28"/>
      <c r="H90" s="28"/>
      <c r="I90" s="28"/>
      <c r="J90" s="31"/>
    </row>
    <row r="91" spans="7:10" x14ac:dyDescent="0.3">
      <c r="G91" s="28"/>
      <c r="H91" s="28"/>
      <c r="I91" s="28"/>
      <c r="J91" s="31"/>
    </row>
    <row r="92" spans="7:10" x14ac:dyDescent="0.3">
      <c r="G92" s="28"/>
      <c r="H92" s="28"/>
      <c r="I92" s="28"/>
      <c r="J92" s="31"/>
    </row>
    <row r="93" spans="7:10" x14ac:dyDescent="0.3">
      <c r="G93" s="28"/>
      <c r="H93" s="28"/>
      <c r="I93" s="28"/>
      <c r="J93" s="31"/>
    </row>
    <row r="94" spans="7:10" x14ac:dyDescent="0.3">
      <c r="G94" s="28"/>
      <c r="H94" s="28"/>
      <c r="I94" s="28"/>
      <c r="J94" s="31"/>
    </row>
    <row r="95" spans="7:10" x14ac:dyDescent="0.3">
      <c r="G95" s="28"/>
      <c r="H95" s="28"/>
      <c r="I95" s="28"/>
      <c r="J95" s="31"/>
    </row>
    <row r="96" spans="7:10" x14ac:dyDescent="0.3">
      <c r="G96" s="28"/>
      <c r="H96" s="28"/>
      <c r="I96" s="28"/>
      <c r="J96" s="31"/>
    </row>
    <row r="97" spans="7:10" x14ac:dyDescent="0.3">
      <c r="G97" s="28"/>
      <c r="H97" s="28"/>
      <c r="I97" s="28"/>
      <c r="J97" s="31"/>
    </row>
    <row r="98" spans="7:10" x14ac:dyDescent="0.3">
      <c r="G98" s="28"/>
      <c r="H98" s="28"/>
      <c r="I98" s="28"/>
      <c r="J98" s="31"/>
    </row>
    <row r="99" spans="7:10" x14ac:dyDescent="0.3">
      <c r="G99" s="28"/>
      <c r="H99" s="28"/>
      <c r="I99" s="28"/>
      <c r="J99" s="31"/>
    </row>
    <row r="100" spans="7:10" x14ac:dyDescent="0.3">
      <c r="G100" s="28"/>
      <c r="H100" s="28"/>
      <c r="I100" s="28"/>
      <c r="J100" s="31"/>
    </row>
    <row r="101" spans="7:10" x14ac:dyDescent="0.3">
      <c r="G101" s="28"/>
      <c r="H101" s="28"/>
      <c r="I101" s="28"/>
      <c r="J101" s="31"/>
    </row>
    <row r="102" spans="7:10" x14ac:dyDescent="0.3">
      <c r="G102" s="28"/>
      <c r="H102" s="28"/>
      <c r="I102" s="28"/>
      <c r="J102" s="31"/>
    </row>
    <row r="103" spans="7:10" x14ac:dyDescent="0.3">
      <c r="G103" s="28"/>
      <c r="H103" s="28"/>
      <c r="I103" s="28"/>
      <c r="J103" s="31"/>
    </row>
    <row r="104" spans="7:10" x14ac:dyDescent="0.3">
      <c r="G104" s="28"/>
      <c r="H104" s="28"/>
      <c r="I104" s="28"/>
      <c r="J104" s="31"/>
    </row>
    <row r="105" spans="7:10" x14ac:dyDescent="0.3">
      <c r="G105" s="28"/>
      <c r="H105" s="28"/>
      <c r="I105" s="28"/>
      <c r="J105" s="31"/>
    </row>
    <row r="106" spans="7:10" x14ac:dyDescent="0.3">
      <c r="G106" s="28"/>
      <c r="H106" s="28"/>
      <c r="I106" s="28"/>
      <c r="J106" s="31"/>
    </row>
    <row r="107" spans="7:10" x14ac:dyDescent="0.3">
      <c r="G107" s="28"/>
      <c r="H107" s="28"/>
      <c r="I107" s="28"/>
      <c r="J107" s="31"/>
    </row>
    <row r="108" spans="7:10" x14ac:dyDescent="0.3">
      <c r="G108" s="28"/>
      <c r="H108" s="28"/>
      <c r="I108" s="28"/>
      <c r="J108" s="31"/>
    </row>
    <row r="109" spans="7:10" x14ac:dyDescent="0.3">
      <c r="G109" s="28"/>
      <c r="H109" s="28"/>
      <c r="I109" s="28"/>
      <c r="J109" s="31"/>
    </row>
    <row r="110" spans="7:10" x14ac:dyDescent="0.3">
      <c r="G110" s="28"/>
      <c r="H110" s="28"/>
      <c r="I110" s="28"/>
      <c r="J110" s="31"/>
    </row>
    <row r="111" spans="7:10" x14ac:dyDescent="0.3">
      <c r="G111" s="28"/>
      <c r="H111" s="28"/>
      <c r="I111" s="28"/>
      <c r="J111" s="31"/>
    </row>
    <row r="112" spans="7:10" x14ac:dyDescent="0.3">
      <c r="G112" s="28"/>
      <c r="H112" s="28"/>
      <c r="I112" s="28"/>
      <c r="J112" s="31"/>
    </row>
    <row r="113" spans="7:10" x14ac:dyDescent="0.3">
      <c r="G113" s="28"/>
      <c r="H113" s="28"/>
      <c r="I113" s="28"/>
      <c r="J113" s="31"/>
    </row>
    <row r="114" spans="7:10" x14ac:dyDescent="0.3">
      <c r="G114" s="28"/>
      <c r="H114" s="28"/>
      <c r="I114" s="28"/>
      <c r="J114" s="31"/>
    </row>
    <row r="115" spans="7:10" x14ac:dyDescent="0.3">
      <c r="G115" s="28"/>
      <c r="H115" s="28"/>
      <c r="I115" s="28"/>
      <c r="J115" s="31"/>
    </row>
    <row r="116" spans="7:10" x14ac:dyDescent="0.3">
      <c r="G116" s="28"/>
      <c r="H116" s="28"/>
      <c r="I116" s="28"/>
      <c r="J116" s="31"/>
    </row>
    <row r="117" spans="7:10" x14ac:dyDescent="0.3">
      <c r="G117" s="28"/>
      <c r="H117" s="28"/>
      <c r="I117" s="28"/>
      <c r="J117" s="31"/>
    </row>
    <row r="118" spans="7:10" x14ac:dyDescent="0.3">
      <c r="G118" s="28"/>
      <c r="H118" s="28"/>
      <c r="I118" s="28"/>
      <c r="J118" s="31"/>
    </row>
    <row r="119" spans="7:10" x14ac:dyDescent="0.3">
      <c r="G119" s="28"/>
      <c r="H119" s="28"/>
      <c r="I119" s="28"/>
      <c r="J119" s="31"/>
    </row>
    <row r="120" spans="7:10" x14ac:dyDescent="0.3">
      <c r="G120" s="28"/>
      <c r="H120" s="28"/>
      <c r="I120" s="28"/>
      <c r="J120" s="31"/>
    </row>
    <row r="121" spans="7:10" x14ac:dyDescent="0.3">
      <c r="G121" s="28"/>
      <c r="H121" s="28"/>
      <c r="I121" s="28"/>
      <c r="J121" s="31"/>
    </row>
    <row r="122" spans="7:10" x14ac:dyDescent="0.3">
      <c r="G122" s="28"/>
      <c r="H122" s="28"/>
      <c r="I122" s="28"/>
      <c r="J122" s="31"/>
    </row>
    <row r="123" spans="7:10" x14ac:dyDescent="0.3">
      <c r="G123" s="28"/>
      <c r="H123" s="28"/>
      <c r="I123" s="28"/>
      <c r="J123" s="31"/>
    </row>
    <row r="124" spans="7:10" x14ac:dyDescent="0.3">
      <c r="G124" s="28"/>
      <c r="H124" s="28"/>
      <c r="I124" s="28"/>
      <c r="J124" s="31"/>
    </row>
    <row r="125" spans="7:10" x14ac:dyDescent="0.3">
      <c r="G125" s="28"/>
      <c r="H125" s="28"/>
      <c r="I125" s="28"/>
      <c r="J125" s="31"/>
    </row>
    <row r="126" spans="7:10" x14ac:dyDescent="0.3">
      <c r="G126" s="28"/>
      <c r="H126" s="28"/>
      <c r="I126" s="28"/>
      <c r="J126" s="31"/>
    </row>
    <row r="127" spans="7:10" x14ac:dyDescent="0.3">
      <c r="G127" s="28"/>
      <c r="H127" s="28"/>
      <c r="I127" s="28"/>
      <c r="J127" s="31"/>
    </row>
    <row r="128" spans="7:10" x14ac:dyDescent="0.3">
      <c r="G128" s="28"/>
      <c r="H128" s="28"/>
      <c r="I128" s="28"/>
      <c r="J128" s="31"/>
    </row>
    <row r="129" spans="7:10" x14ac:dyDescent="0.3">
      <c r="G129" s="28"/>
      <c r="H129" s="28"/>
      <c r="I129" s="28"/>
      <c r="J129" s="31"/>
    </row>
    <row r="130" spans="7:10" x14ac:dyDescent="0.3">
      <c r="G130" s="28"/>
      <c r="H130" s="28"/>
      <c r="I130" s="28"/>
      <c r="J130" s="31"/>
    </row>
    <row r="131" spans="7:10" x14ac:dyDescent="0.3">
      <c r="G131" s="28"/>
      <c r="H131" s="28"/>
      <c r="I131" s="28"/>
      <c r="J131" s="31"/>
    </row>
    <row r="132" spans="7:10" x14ac:dyDescent="0.3">
      <c r="G132" s="28"/>
      <c r="H132" s="28"/>
      <c r="I132" s="28"/>
      <c r="J132" s="31"/>
    </row>
    <row r="133" spans="7:10" x14ac:dyDescent="0.3">
      <c r="G133" s="28"/>
      <c r="H133" s="28"/>
      <c r="I133" s="28"/>
      <c r="J133" s="31"/>
    </row>
    <row r="134" spans="7:10" x14ac:dyDescent="0.3">
      <c r="G134" s="28"/>
      <c r="H134" s="28"/>
      <c r="I134" s="28"/>
      <c r="J134" s="31"/>
    </row>
    <row r="135" spans="7:10" x14ac:dyDescent="0.3">
      <c r="G135" s="28"/>
      <c r="H135" s="28"/>
      <c r="I135" s="28"/>
      <c r="J135" s="31"/>
    </row>
    <row r="136" spans="7:10" x14ac:dyDescent="0.3">
      <c r="G136" s="28"/>
      <c r="H136" s="28"/>
      <c r="I136" s="28"/>
      <c r="J136" s="31"/>
    </row>
    <row r="137" spans="7:10" x14ac:dyDescent="0.3">
      <c r="G137" s="28"/>
      <c r="H137" s="28"/>
      <c r="I137" s="28"/>
      <c r="J137" s="31"/>
    </row>
    <row r="138" spans="7:10" x14ac:dyDescent="0.3">
      <c r="G138" s="28"/>
      <c r="H138" s="28"/>
      <c r="I138" s="28"/>
      <c r="J138" s="31"/>
    </row>
    <row r="139" spans="7:10" x14ac:dyDescent="0.3">
      <c r="G139" s="28"/>
      <c r="H139" s="28"/>
      <c r="I139" s="28"/>
      <c r="J139" s="31"/>
    </row>
    <row r="140" spans="7:10" x14ac:dyDescent="0.3">
      <c r="G140" s="28"/>
      <c r="H140" s="28"/>
      <c r="I140" s="28"/>
      <c r="J140" s="31"/>
    </row>
    <row r="141" spans="7:10" x14ac:dyDescent="0.3">
      <c r="G141" s="28"/>
      <c r="H141" s="28"/>
      <c r="I141" s="28"/>
      <c r="J141" s="31"/>
    </row>
    <row r="142" spans="7:10" x14ac:dyDescent="0.3">
      <c r="G142" s="28"/>
      <c r="H142" s="28"/>
      <c r="I142" s="28"/>
      <c r="J142" s="31"/>
    </row>
    <row r="143" spans="7:10" x14ac:dyDescent="0.3">
      <c r="G143" s="28"/>
      <c r="H143" s="28"/>
      <c r="I143" s="28"/>
      <c r="J143" s="31"/>
    </row>
    <row r="144" spans="7:10" x14ac:dyDescent="0.3">
      <c r="G144" s="28"/>
      <c r="H144" s="28"/>
      <c r="I144" s="28"/>
      <c r="J144" s="31"/>
    </row>
    <row r="145" spans="7:10" x14ac:dyDescent="0.3">
      <c r="G145" s="28"/>
      <c r="H145" s="28"/>
      <c r="I145" s="28"/>
      <c r="J145" s="31"/>
    </row>
    <row r="146" spans="7:10" x14ac:dyDescent="0.3">
      <c r="G146" s="28"/>
      <c r="H146" s="28"/>
      <c r="I146" s="28"/>
      <c r="J146" s="31"/>
    </row>
    <row r="147" spans="7:10" x14ac:dyDescent="0.3">
      <c r="G147" s="28"/>
      <c r="H147" s="28"/>
      <c r="I147" s="28"/>
      <c r="J147" s="31"/>
    </row>
    <row r="148" spans="7:10" x14ac:dyDescent="0.3">
      <c r="G148" s="28"/>
      <c r="H148" s="28"/>
      <c r="I148" s="28"/>
      <c r="J148" s="31"/>
    </row>
    <row r="149" spans="7:10" x14ac:dyDescent="0.3">
      <c r="G149" s="28"/>
      <c r="H149" s="28"/>
      <c r="I149" s="28"/>
      <c r="J149" s="31"/>
    </row>
    <row r="150" spans="7:10" x14ac:dyDescent="0.3">
      <c r="G150" s="28"/>
      <c r="H150" s="28"/>
      <c r="I150" s="28"/>
      <c r="J150" s="31"/>
    </row>
    <row r="151" spans="7:10" x14ac:dyDescent="0.3">
      <c r="G151" s="28"/>
      <c r="H151" s="28"/>
      <c r="I151" s="28"/>
      <c r="J151" s="31"/>
    </row>
    <row r="152" spans="7:10" x14ac:dyDescent="0.3">
      <c r="G152" s="28"/>
      <c r="H152" s="28"/>
      <c r="I152" s="28"/>
      <c r="J152" s="31"/>
    </row>
    <row r="153" spans="7:10" x14ac:dyDescent="0.3">
      <c r="G153" s="28"/>
      <c r="H153" s="28"/>
      <c r="I153" s="28"/>
      <c r="J153" s="31"/>
    </row>
    <row r="154" spans="7:10" x14ac:dyDescent="0.3">
      <c r="G154" s="28"/>
      <c r="H154" s="28"/>
      <c r="I154" s="28"/>
      <c r="J154" s="31"/>
    </row>
    <row r="155" spans="7:10" x14ac:dyDescent="0.3">
      <c r="G155" s="28"/>
      <c r="H155" s="28"/>
      <c r="I155" s="28"/>
      <c r="J155" s="31"/>
    </row>
    <row r="156" spans="7:10" x14ac:dyDescent="0.3">
      <c r="G156" s="28"/>
      <c r="H156" s="28"/>
      <c r="I156" s="28"/>
      <c r="J156" s="31"/>
    </row>
    <row r="157" spans="7:10" x14ac:dyDescent="0.3">
      <c r="G157" s="28"/>
      <c r="H157" s="28"/>
      <c r="I157" s="28"/>
      <c r="J157" s="31"/>
    </row>
    <row r="158" spans="7:10" x14ac:dyDescent="0.3">
      <c r="G158" s="28"/>
      <c r="H158" s="28"/>
      <c r="I158" s="28"/>
      <c r="J158" s="31"/>
    </row>
    <row r="159" spans="7:10" x14ac:dyDescent="0.3">
      <c r="G159" s="28"/>
      <c r="H159" s="28"/>
      <c r="I159" s="28"/>
      <c r="J159" s="31"/>
    </row>
    <row r="160" spans="7:10" x14ac:dyDescent="0.3">
      <c r="G160" s="28"/>
      <c r="H160" s="28"/>
      <c r="I160" s="28"/>
      <c r="J160" s="31"/>
    </row>
    <row r="161" spans="7:10" x14ac:dyDescent="0.3">
      <c r="G161" s="28"/>
      <c r="H161" s="28"/>
      <c r="I161" s="28"/>
      <c r="J161" s="31"/>
    </row>
    <row r="162" spans="7:10" x14ac:dyDescent="0.3">
      <c r="G162" s="28"/>
      <c r="H162" s="28"/>
      <c r="I162" s="28"/>
      <c r="J162" s="31"/>
    </row>
    <row r="163" spans="7:10" x14ac:dyDescent="0.3">
      <c r="G163" s="28"/>
      <c r="H163" s="28"/>
      <c r="I163" s="28"/>
      <c r="J163" s="31"/>
    </row>
    <row r="164" spans="7:10" x14ac:dyDescent="0.3">
      <c r="G164" s="28"/>
      <c r="H164" s="28"/>
      <c r="I164" s="28"/>
      <c r="J164" s="31"/>
    </row>
    <row r="165" spans="7:10" x14ac:dyDescent="0.3">
      <c r="G165" s="28"/>
      <c r="H165" s="28"/>
      <c r="I165" s="28"/>
      <c r="J165" s="31"/>
    </row>
    <row r="166" spans="7:10" x14ac:dyDescent="0.3">
      <c r="G166" s="28"/>
      <c r="H166" s="28"/>
      <c r="I166" s="28"/>
      <c r="J166" s="31"/>
    </row>
    <row r="167" spans="7:10" x14ac:dyDescent="0.3">
      <c r="G167" s="28"/>
      <c r="H167" s="28"/>
      <c r="I167" s="28"/>
      <c r="J167" s="31"/>
    </row>
    <row r="168" spans="7:10" x14ac:dyDescent="0.3">
      <c r="G168" s="28"/>
      <c r="H168" s="28"/>
      <c r="I168" s="28"/>
      <c r="J168" s="31"/>
    </row>
    <row r="169" spans="7:10" x14ac:dyDescent="0.3">
      <c r="G169" s="28"/>
      <c r="H169" s="28"/>
      <c r="I169" s="28"/>
      <c r="J169" s="31"/>
    </row>
    <row r="170" spans="7:10" x14ac:dyDescent="0.3">
      <c r="G170" s="28"/>
      <c r="H170" s="28"/>
      <c r="I170" s="28"/>
      <c r="J170" s="31"/>
    </row>
    <row r="171" spans="7:10" x14ac:dyDescent="0.3">
      <c r="G171" s="28"/>
      <c r="H171" s="28"/>
      <c r="I171" s="28"/>
      <c r="J171" s="31"/>
    </row>
    <row r="172" spans="7:10" x14ac:dyDescent="0.3">
      <c r="G172" s="28"/>
      <c r="H172" s="28"/>
      <c r="I172" s="28"/>
      <c r="J172" s="31"/>
    </row>
    <row r="173" spans="7:10" x14ac:dyDescent="0.3">
      <c r="G173" s="28"/>
      <c r="H173" s="28"/>
      <c r="I173" s="28"/>
      <c r="J173" s="31"/>
    </row>
    <row r="174" spans="7:10" x14ac:dyDescent="0.3">
      <c r="G174" s="28"/>
      <c r="H174" s="28"/>
      <c r="I174" s="28"/>
      <c r="J174" s="31"/>
    </row>
    <row r="175" spans="7:10" x14ac:dyDescent="0.3">
      <c r="G175" s="28"/>
      <c r="H175" s="28"/>
      <c r="I175" s="28"/>
      <c r="J175" s="31"/>
    </row>
    <row r="176" spans="7:10" x14ac:dyDescent="0.3">
      <c r="G176" s="28"/>
      <c r="H176" s="28"/>
      <c r="I176" s="28"/>
      <c r="J176" s="31"/>
    </row>
    <row r="177" spans="7:10" x14ac:dyDescent="0.3">
      <c r="G177" s="28"/>
      <c r="H177" s="28"/>
      <c r="I177" s="28"/>
      <c r="J177" s="31"/>
    </row>
    <row r="178" spans="7:10" x14ac:dyDescent="0.3">
      <c r="G178" s="28"/>
      <c r="H178" s="28"/>
      <c r="I178" s="28"/>
      <c r="J178" s="31"/>
    </row>
    <row r="179" spans="7:10" x14ac:dyDescent="0.3">
      <c r="G179" s="28"/>
      <c r="H179" s="28"/>
      <c r="I179" s="28"/>
      <c r="J179" s="31"/>
    </row>
    <row r="180" spans="7:10" x14ac:dyDescent="0.3">
      <c r="G180" s="28"/>
      <c r="H180" s="28"/>
      <c r="I180" s="28"/>
      <c r="J180" s="31"/>
    </row>
    <row r="181" spans="7:10" x14ac:dyDescent="0.3">
      <c r="G181" s="28"/>
      <c r="H181" s="28"/>
      <c r="I181" s="28"/>
      <c r="J181" s="31"/>
    </row>
    <row r="182" spans="7:10" x14ac:dyDescent="0.3">
      <c r="G182" s="28"/>
      <c r="H182" s="28"/>
      <c r="I182" s="28"/>
      <c r="J182" s="31"/>
    </row>
    <row r="183" spans="7:10" x14ac:dyDescent="0.3">
      <c r="G183" s="28"/>
      <c r="H183" s="28"/>
      <c r="I183" s="28"/>
      <c r="J183" s="31"/>
    </row>
    <row r="184" spans="7:10" x14ac:dyDescent="0.3">
      <c r="G184" s="28"/>
      <c r="H184" s="28"/>
      <c r="I184" s="28"/>
      <c r="J184" s="31"/>
    </row>
    <row r="185" spans="7:10" x14ac:dyDescent="0.3">
      <c r="G185" s="28"/>
      <c r="H185" s="28"/>
      <c r="I185" s="28"/>
      <c r="J185" s="31"/>
    </row>
    <row r="186" spans="7:10" x14ac:dyDescent="0.3">
      <c r="G186" s="28"/>
      <c r="H186" s="28"/>
      <c r="I186" s="28"/>
      <c r="J186" s="31"/>
    </row>
    <row r="187" spans="7:10" x14ac:dyDescent="0.3">
      <c r="G187" s="28"/>
      <c r="H187" s="28"/>
      <c r="I187" s="28"/>
      <c r="J187" s="31"/>
    </row>
    <row r="188" spans="7:10" x14ac:dyDescent="0.3">
      <c r="G188" s="28"/>
      <c r="H188" s="28"/>
      <c r="I188" s="28"/>
      <c r="J188" s="31"/>
    </row>
    <row r="189" spans="7:10" x14ac:dyDescent="0.3">
      <c r="G189" s="28"/>
      <c r="H189" s="28"/>
      <c r="I189" s="28"/>
      <c r="J189" s="31"/>
    </row>
    <row r="190" spans="7:10" x14ac:dyDescent="0.3">
      <c r="G190" s="28"/>
      <c r="H190" s="28"/>
      <c r="I190" s="28"/>
      <c r="J190" s="31"/>
    </row>
    <row r="191" spans="7:10" x14ac:dyDescent="0.3">
      <c r="G191" s="28"/>
      <c r="H191" s="28"/>
      <c r="I191" s="28"/>
      <c r="J191" s="31"/>
    </row>
    <row r="192" spans="7:10" x14ac:dyDescent="0.3">
      <c r="G192" s="28"/>
      <c r="H192" s="28"/>
      <c r="I192" s="28"/>
      <c r="J192" s="31"/>
    </row>
    <row r="193" spans="7:10" x14ac:dyDescent="0.3">
      <c r="G193" s="28"/>
      <c r="H193" s="28"/>
      <c r="I193" s="28"/>
      <c r="J193" s="31"/>
    </row>
    <row r="194" spans="7:10" x14ac:dyDescent="0.3">
      <c r="G194" s="28"/>
      <c r="H194" s="28"/>
      <c r="I194" s="28"/>
      <c r="J194" s="31"/>
    </row>
    <row r="195" spans="7:10" x14ac:dyDescent="0.3">
      <c r="G195" s="28"/>
      <c r="H195" s="28"/>
      <c r="I195" s="28"/>
      <c r="J195" s="31"/>
    </row>
    <row r="196" spans="7:10" x14ac:dyDescent="0.3">
      <c r="G196" s="28"/>
      <c r="H196" s="28"/>
      <c r="I196" s="28"/>
      <c r="J196" s="31"/>
    </row>
    <row r="197" spans="7:10" x14ac:dyDescent="0.3">
      <c r="G197" s="28"/>
      <c r="H197" s="28"/>
      <c r="I197" s="28"/>
      <c r="J197" s="31"/>
    </row>
    <row r="198" spans="7:10" x14ac:dyDescent="0.3">
      <c r="G198" s="28"/>
      <c r="H198" s="28"/>
      <c r="I198" s="28"/>
      <c r="J198" s="31"/>
    </row>
    <row r="199" spans="7:10" x14ac:dyDescent="0.3">
      <c r="G199" s="28"/>
      <c r="H199" s="28"/>
      <c r="I199" s="28"/>
      <c r="J199" s="31"/>
    </row>
    <row r="200" spans="7:10" x14ac:dyDescent="0.3">
      <c r="G200" s="28"/>
      <c r="H200" s="28"/>
      <c r="I200" s="28"/>
      <c r="J200" s="31"/>
    </row>
    <row r="201" spans="7:10" x14ac:dyDescent="0.3">
      <c r="G201" s="28"/>
      <c r="H201" s="28"/>
      <c r="I201" s="28"/>
      <c r="J201" s="31"/>
    </row>
    <row r="202" spans="7:10" x14ac:dyDescent="0.3">
      <c r="G202" s="28"/>
      <c r="H202" s="28"/>
      <c r="I202" s="28"/>
      <c r="J202" s="31"/>
    </row>
    <row r="203" spans="7:10" x14ac:dyDescent="0.3">
      <c r="G203" s="28"/>
      <c r="H203" s="28"/>
      <c r="I203" s="28"/>
      <c r="J203" s="31"/>
    </row>
    <row r="204" spans="7:10" x14ac:dyDescent="0.3">
      <c r="G204" s="28"/>
      <c r="H204" s="28"/>
      <c r="I204" s="28"/>
      <c r="J204" s="31"/>
    </row>
    <row r="205" spans="7:10" x14ac:dyDescent="0.3">
      <c r="G205" s="28"/>
      <c r="H205" s="28"/>
      <c r="I205" s="28"/>
      <c r="J205" s="31"/>
    </row>
    <row r="206" spans="7:10" x14ac:dyDescent="0.3">
      <c r="G206" s="28"/>
      <c r="H206" s="28"/>
      <c r="I206" s="28"/>
      <c r="J206" s="31"/>
    </row>
    <row r="207" spans="7:10" x14ac:dyDescent="0.3">
      <c r="G207" s="28"/>
      <c r="H207" s="28"/>
      <c r="I207" s="28"/>
      <c r="J207" s="31"/>
    </row>
    <row r="208" spans="7:10" x14ac:dyDescent="0.3">
      <c r="G208" s="28"/>
      <c r="H208" s="28"/>
      <c r="I208" s="28"/>
      <c r="J208" s="31"/>
    </row>
    <row r="209" spans="7:10" x14ac:dyDescent="0.3">
      <c r="G209" s="28"/>
      <c r="H209" s="28"/>
      <c r="I209" s="28"/>
      <c r="J209" s="31"/>
    </row>
    <row r="210" spans="7:10" x14ac:dyDescent="0.3">
      <c r="G210" s="28"/>
      <c r="H210" s="28"/>
      <c r="I210" s="28"/>
      <c r="J210" s="31"/>
    </row>
    <row r="211" spans="7:10" x14ac:dyDescent="0.3">
      <c r="G211" s="28"/>
      <c r="H211" s="28"/>
      <c r="I211" s="28"/>
      <c r="J211" s="31"/>
    </row>
    <row r="212" spans="7:10" x14ac:dyDescent="0.3">
      <c r="G212" s="28"/>
      <c r="H212" s="28"/>
      <c r="I212" s="28"/>
      <c r="J212" s="31"/>
    </row>
    <row r="213" spans="7:10" x14ac:dyDescent="0.3">
      <c r="G213" s="28"/>
      <c r="H213" s="28"/>
      <c r="I213" s="28"/>
      <c r="J213" s="31"/>
    </row>
    <row r="214" spans="7:10" x14ac:dyDescent="0.3">
      <c r="G214" s="28"/>
      <c r="H214" s="28"/>
      <c r="I214" s="28"/>
      <c r="J214" s="31"/>
    </row>
    <row r="215" spans="7:10" x14ac:dyDescent="0.3">
      <c r="G215" s="28"/>
      <c r="H215" s="28"/>
      <c r="I215" s="28"/>
      <c r="J215" s="31"/>
    </row>
    <row r="216" spans="7:10" x14ac:dyDescent="0.3">
      <c r="G216" s="28"/>
      <c r="H216" s="28"/>
      <c r="I216" s="28"/>
      <c r="J216" s="31"/>
    </row>
    <row r="217" spans="7:10" x14ac:dyDescent="0.3">
      <c r="G217" s="28"/>
      <c r="H217" s="28"/>
      <c r="I217" s="28"/>
      <c r="J217" s="31"/>
    </row>
    <row r="218" spans="7:10" x14ac:dyDescent="0.3">
      <c r="G218" s="28"/>
      <c r="H218" s="28"/>
      <c r="I218" s="28"/>
      <c r="J218" s="31"/>
    </row>
    <row r="219" spans="7:10" x14ac:dyDescent="0.3">
      <c r="G219" s="28"/>
      <c r="H219" s="28"/>
      <c r="I219" s="28"/>
      <c r="J219" s="31"/>
    </row>
    <row r="220" spans="7:10" x14ac:dyDescent="0.3">
      <c r="G220" s="28"/>
      <c r="H220" s="28"/>
      <c r="I220" s="28"/>
      <c r="J220" s="31"/>
    </row>
    <row r="221" spans="7:10" x14ac:dyDescent="0.3">
      <c r="G221" s="28"/>
      <c r="H221" s="28"/>
      <c r="I221" s="28"/>
      <c r="J221" s="31"/>
    </row>
    <row r="222" spans="7:10" x14ac:dyDescent="0.3">
      <c r="G222" s="28"/>
      <c r="H222" s="28"/>
      <c r="I222" s="28"/>
      <c r="J222" s="31"/>
    </row>
    <row r="223" spans="7:10" x14ac:dyDescent="0.3">
      <c r="G223" s="28"/>
      <c r="H223" s="28"/>
      <c r="I223" s="28"/>
      <c r="J223" s="31"/>
    </row>
    <row r="224" spans="7:10" x14ac:dyDescent="0.3">
      <c r="G224" s="28"/>
      <c r="H224" s="28"/>
      <c r="I224" s="28"/>
      <c r="J224" s="31"/>
    </row>
    <row r="225" spans="7:10" x14ac:dyDescent="0.3">
      <c r="G225" s="28"/>
      <c r="H225" s="28"/>
      <c r="I225" s="28"/>
      <c r="J225" s="31"/>
    </row>
    <row r="226" spans="7:10" x14ac:dyDescent="0.3">
      <c r="G226" s="28"/>
      <c r="H226" s="28"/>
      <c r="I226" s="28"/>
      <c r="J226" s="31"/>
    </row>
    <row r="227" spans="7:10" x14ac:dyDescent="0.3">
      <c r="G227" s="28"/>
      <c r="H227" s="28"/>
      <c r="I227" s="28"/>
      <c r="J227" s="31"/>
    </row>
    <row r="228" spans="7:10" x14ac:dyDescent="0.3">
      <c r="G228" s="28"/>
      <c r="H228" s="28"/>
      <c r="I228" s="28"/>
      <c r="J228" s="31"/>
    </row>
    <row r="229" spans="7:10" x14ac:dyDescent="0.3">
      <c r="G229" s="28"/>
      <c r="H229" s="28"/>
      <c r="I229" s="28"/>
      <c r="J229" s="31"/>
    </row>
    <row r="230" spans="7:10" x14ac:dyDescent="0.3">
      <c r="G230" s="28"/>
      <c r="H230" s="28"/>
      <c r="I230" s="28"/>
      <c r="J230" s="31"/>
    </row>
    <row r="231" spans="7:10" x14ac:dyDescent="0.3">
      <c r="G231" s="28"/>
      <c r="H231" s="28"/>
      <c r="I231" s="28"/>
      <c r="J231" s="31"/>
    </row>
    <row r="232" spans="7:10" x14ac:dyDescent="0.3">
      <c r="G232" s="28"/>
      <c r="H232" s="28"/>
      <c r="I232" s="28"/>
      <c r="J232" s="31"/>
    </row>
    <row r="233" spans="7:10" x14ac:dyDescent="0.3">
      <c r="G233" s="28"/>
      <c r="H233" s="28"/>
      <c r="I233" s="28"/>
      <c r="J233" s="31"/>
    </row>
    <row r="234" spans="7:10" x14ac:dyDescent="0.3">
      <c r="G234" s="28"/>
      <c r="H234" s="28"/>
      <c r="I234" s="28"/>
      <c r="J234" s="31"/>
    </row>
    <row r="235" spans="7:10" x14ac:dyDescent="0.3">
      <c r="G235" s="28"/>
      <c r="H235" s="28"/>
      <c r="I235" s="28"/>
      <c r="J235" s="31"/>
    </row>
    <row r="236" spans="7:10" x14ac:dyDescent="0.3">
      <c r="G236" s="28"/>
      <c r="H236" s="28"/>
      <c r="I236" s="28"/>
      <c r="J236" s="31"/>
    </row>
    <row r="237" spans="7:10" x14ac:dyDescent="0.3">
      <c r="G237" s="28"/>
      <c r="H237" s="28"/>
      <c r="I237" s="28"/>
      <c r="J237" s="31"/>
    </row>
    <row r="238" spans="7:10" x14ac:dyDescent="0.3">
      <c r="G238" s="28"/>
      <c r="H238" s="28"/>
      <c r="I238" s="28"/>
      <c r="J238" s="31"/>
    </row>
    <row r="239" spans="7:10" x14ac:dyDescent="0.3">
      <c r="G239" s="28"/>
      <c r="H239" s="28"/>
      <c r="I239" s="28"/>
      <c r="J239" s="31"/>
    </row>
    <row r="240" spans="7:10" x14ac:dyDescent="0.3">
      <c r="G240" s="28"/>
      <c r="H240" s="28"/>
      <c r="I240" s="28"/>
      <c r="J240" s="31"/>
    </row>
    <row r="241" spans="7:10" x14ac:dyDescent="0.3">
      <c r="G241" s="28"/>
      <c r="H241" s="28"/>
      <c r="I241" s="28"/>
      <c r="J241" s="31"/>
    </row>
    <row r="242" spans="7:10" x14ac:dyDescent="0.3">
      <c r="G242" s="28"/>
      <c r="H242" s="28"/>
      <c r="I242" s="28"/>
      <c r="J242" s="31"/>
    </row>
    <row r="243" spans="7:10" x14ac:dyDescent="0.3">
      <c r="G243" s="28"/>
      <c r="H243" s="28"/>
      <c r="I243" s="28"/>
      <c r="J243" s="31"/>
    </row>
    <row r="244" spans="7:10" x14ac:dyDescent="0.3">
      <c r="G244" s="28"/>
      <c r="H244" s="28"/>
      <c r="I244" s="28"/>
      <c r="J244" s="31"/>
    </row>
    <row r="245" spans="7:10" x14ac:dyDescent="0.3">
      <c r="G245" s="28"/>
      <c r="H245" s="28"/>
      <c r="I245" s="28"/>
      <c r="J245" s="31"/>
    </row>
    <row r="246" spans="7:10" x14ac:dyDescent="0.3">
      <c r="G246" s="28"/>
      <c r="H246" s="28"/>
      <c r="I246" s="28"/>
      <c r="J246" s="31"/>
    </row>
    <row r="247" spans="7:10" x14ac:dyDescent="0.3">
      <c r="G247" s="28"/>
      <c r="H247" s="28"/>
      <c r="I247" s="28"/>
      <c r="J247" s="31"/>
    </row>
    <row r="248" spans="7:10" x14ac:dyDescent="0.3">
      <c r="G248" s="28"/>
      <c r="H248" s="28"/>
      <c r="I248" s="28"/>
      <c r="J248" s="31"/>
    </row>
    <row r="249" spans="7:10" x14ac:dyDescent="0.3">
      <c r="G249" s="28"/>
      <c r="H249" s="28"/>
      <c r="I249" s="28"/>
      <c r="J249" s="31"/>
    </row>
    <row r="250" spans="7:10" x14ac:dyDescent="0.3">
      <c r="G250" s="28"/>
      <c r="H250" s="28"/>
      <c r="I250" s="28"/>
      <c r="J250" s="31"/>
    </row>
    <row r="251" spans="7:10" x14ac:dyDescent="0.3">
      <c r="G251" s="28"/>
      <c r="H251" s="28"/>
      <c r="I251" s="28"/>
      <c r="J251" s="31"/>
    </row>
    <row r="252" spans="7:10" x14ac:dyDescent="0.3">
      <c r="G252" s="28"/>
      <c r="H252" s="28"/>
      <c r="I252" s="28"/>
      <c r="J252" s="31"/>
    </row>
    <row r="253" spans="7:10" x14ac:dyDescent="0.3">
      <c r="G253" s="28"/>
      <c r="H253" s="28"/>
      <c r="I253" s="28"/>
      <c r="J253" s="31"/>
    </row>
    <row r="254" spans="7:10" x14ac:dyDescent="0.3">
      <c r="G254" s="28"/>
      <c r="H254" s="28"/>
      <c r="I254" s="28"/>
      <c r="J254" s="31"/>
    </row>
    <row r="255" spans="7:10" x14ac:dyDescent="0.3">
      <c r="G255" s="28"/>
      <c r="H255" s="28"/>
      <c r="I255" s="28"/>
      <c r="J255" s="31"/>
    </row>
    <row r="256" spans="7:10" x14ac:dyDescent="0.3">
      <c r="G256" s="28"/>
      <c r="H256" s="28"/>
      <c r="I256" s="28"/>
      <c r="J256" s="31"/>
    </row>
    <row r="257" spans="7:10" x14ac:dyDescent="0.3">
      <c r="G257" s="28"/>
      <c r="H257" s="28"/>
      <c r="I257" s="28"/>
      <c r="J257" s="31"/>
    </row>
    <row r="258" spans="7:10" x14ac:dyDescent="0.3">
      <c r="G258" s="28"/>
      <c r="H258" s="28"/>
      <c r="I258" s="28"/>
      <c r="J258" s="31"/>
    </row>
    <row r="259" spans="7:10" x14ac:dyDescent="0.3">
      <c r="G259" s="28"/>
      <c r="H259" s="28"/>
      <c r="I259" s="28"/>
      <c r="J259" s="31"/>
    </row>
    <row r="260" spans="7:10" x14ac:dyDescent="0.3">
      <c r="G260" s="28"/>
      <c r="H260" s="28"/>
      <c r="I260" s="28"/>
      <c r="J260" s="31"/>
    </row>
    <row r="261" spans="7:10" x14ac:dyDescent="0.3">
      <c r="G261" s="28"/>
      <c r="H261" s="28"/>
      <c r="I261" s="28"/>
      <c r="J261" s="31"/>
    </row>
    <row r="262" spans="7:10" x14ac:dyDescent="0.3">
      <c r="G262" s="28"/>
      <c r="H262" s="28"/>
      <c r="I262" s="28"/>
      <c r="J262" s="31"/>
    </row>
    <row r="263" spans="7:10" x14ac:dyDescent="0.3">
      <c r="G263" s="28"/>
      <c r="H263" s="28"/>
      <c r="I263" s="28"/>
      <c r="J263" s="31"/>
    </row>
    <row r="264" spans="7:10" x14ac:dyDescent="0.3">
      <c r="G264" s="28"/>
      <c r="H264" s="28"/>
      <c r="I264" s="28"/>
      <c r="J264" s="31"/>
    </row>
    <row r="265" spans="7:10" x14ac:dyDescent="0.3">
      <c r="G265" s="28"/>
      <c r="H265" s="28"/>
      <c r="I265" s="28"/>
      <c r="J265" s="31"/>
    </row>
    <row r="266" spans="7:10" x14ac:dyDescent="0.3">
      <c r="G266" s="28"/>
      <c r="H266" s="28"/>
      <c r="I266" s="28"/>
      <c r="J266" s="31"/>
    </row>
    <row r="267" spans="7:10" x14ac:dyDescent="0.3">
      <c r="G267" s="28"/>
      <c r="H267" s="28"/>
      <c r="I267" s="28"/>
      <c r="J267" s="31"/>
    </row>
    <row r="268" spans="7:10" x14ac:dyDescent="0.3">
      <c r="G268" s="28"/>
      <c r="H268" s="28"/>
      <c r="I268" s="28"/>
      <c r="J268" s="31"/>
    </row>
    <row r="269" spans="7:10" x14ac:dyDescent="0.3">
      <c r="G269" s="28"/>
      <c r="H269" s="28"/>
      <c r="I269" s="28"/>
      <c r="J269" s="31"/>
    </row>
    <row r="270" spans="7:10" x14ac:dyDescent="0.3">
      <c r="G270" s="28"/>
      <c r="H270" s="28"/>
      <c r="I270" s="28"/>
      <c r="J270" s="31"/>
    </row>
    <row r="271" spans="7:10" x14ac:dyDescent="0.3">
      <c r="G271" s="28"/>
      <c r="H271" s="28"/>
      <c r="I271" s="28"/>
      <c r="J271" s="31"/>
    </row>
    <row r="272" spans="7:10" x14ac:dyDescent="0.3">
      <c r="G272" s="28"/>
      <c r="H272" s="28"/>
      <c r="I272" s="28"/>
      <c r="J272" s="31"/>
    </row>
    <row r="273" spans="7:10" x14ac:dyDescent="0.3">
      <c r="G273" s="28"/>
      <c r="H273" s="28"/>
      <c r="I273" s="28"/>
      <c r="J273" s="31"/>
    </row>
    <row r="274" spans="7:10" x14ac:dyDescent="0.3">
      <c r="G274" s="28"/>
      <c r="H274" s="28"/>
      <c r="I274" s="28"/>
      <c r="J274" s="31"/>
    </row>
    <row r="275" spans="7:10" x14ac:dyDescent="0.3">
      <c r="G275" s="28"/>
      <c r="H275" s="28"/>
      <c r="I275" s="28"/>
      <c r="J275" s="31"/>
    </row>
    <row r="276" spans="7:10" x14ac:dyDescent="0.3">
      <c r="G276" s="28"/>
      <c r="H276" s="28"/>
      <c r="I276" s="28"/>
      <c r="J276" s="31"/>
    </row>
    <row r="277" spans="7:10" x14ac:dyDescent="0.3">
      <c r="G277" s="28"/>
      <c r="H277" s="28"/>
      <c r="I277" s="28"/>
      <c r="J277" s="31"/>
    </row>
    <row r="278" spans="7:10" x14ac:dyDescent="0.3">
      <c r="G278" s="28"/>
      <c r="H278" s="28"/>
      <c r="I278" s="28"/>
      <c r="J278" s="31"/>
    </row>
    <row r="279" spans="7:10" x14ac:dyDescent="0.3">
      <c r="G279" s="28"/>
      <c r="H279" s="28"/>
      <c r="I279" s="28"/>
      <c r="J279" s="31"/>
    </row>
    <row r="280" spans="7:10" x14ac:dyDescent="0.3">
      <c r="G280" s="28"/>
      <c r="H280" s="28"/>
      <c r="I280" s="28"/>
      <c r="J280" s="31"/>
    </row>
    <row r="281" spans="7:10" x14ac:dyDescent="0.3">
      <c r="G281" s="28"/>
      <c r="H281" s="28"/>
      <c r="I281" s="28"/>
      <c r="J281" s="31"/>
    </row>
    <row r="282" spans="7:10" x14ac:dyDescent="0.3">
      <c r="G282" s="28"/>
      <c r="H282" s="28"/>
      <c r="I282" s="28"/>
      <c r="J282" s="31"/>
    </row>
    <row r="283" spans="7:10" x14ac:dyDescent="0.3">
      <c r="G283" s="28"/>
      <c r="H283" s="28"/>
      <c r="I283" s="28"/>
      <c r="J283" s="31"/>
    </row>
    <row r="284" spans="7:10" x14ac:dyDescent="0.3">
      <c r="G284" s="28"/>
      <c r="H284" s="28"/>
      <c r="I284" s="28"/>
      <c r="J284" s="31"/>
    </row>
    <row r="285" spans="7:10" x14ac:dyDescent="0.3">
      <c r="G285" s="28"/>
      <c r="H285" s="28"/>
      <c r="I285" s="28"/>
      <c r="J285" s="31"/>
    </row>
    <row r="286" spans="7:10" x14ac:dyDescent="0.3">
      <c r="G286" s="28"/>
      <c r="H286" s="28"/>
      <c r="I286" s="28"/>
      <c r="J286" s="31"/>
    </row>
    <row r="287" spans="7:10" x14ac:dyDescent="0.3">
      <c r="G287" s="28"/>
      <c r="H287" s="28"/>
      <c r="I287" s="28"/>
      <c r="J287" s="31"/>
    </row>
    <row r="288" spans="7:10" x14ac:dyDescent="0.3">
      <c r="G288" s="28"/>
      <c r="H288" s="28"/>
      <c r="I288" s="28"/>
      <c r="J288" s="31"/>
    </row>
    <row r="289" spans="7:10" x14ac:dyDescent="0.3">
      <c r="G289" s="28"/>
      <c r="H289" s="28"/>
      <c r="I289" s="28"/>
      <c r="J289" s="31"/>
    </row>
    <row r="290" spans="7:10" x14ac:dyDescent="0.3">
      <c r="G290" s="28"/>
      <c r="H290" s="28"/>
      <c r="I290" s="28"/>
      <c r="J290" s="31"/>
    </row>
    <row r="291" spans="7:10" x14ac:dyDescent="0.3">
      <c r="G291" s="28"/>
      <c r="H291" s="28"/>
      <c r="I291" s="28"/>
      <c r="J291" s="31"/>
    </row>
    <row r="292" spans="7:10" x14ac:dyDescent="0.3">
      <c r="G292" s="28"/>
      <c r="H292" s="28"/>
      <c r="I292" s="28"/>
      <c r="J292" s="31"/>
    </row>
    <row r="293" spans="7:10" x14ac:dyDescent="0.3">
      <c r="G293" s="28"/>
      <c r="H293" s="28"/>
      <c r="I293" s="28"/>
      <c r="J293" s="31"/>
    </row>
    <row r="294" spans="7:10" x14ac:dyDescent="0.3">
      <c r="G294" s="28"/>
      <c r="H294" s="28"/>
      <c r="I294" s="28"/>
      <c r="J294" s="31"/>
    </row>
    <row r="295" spans="7:10" x14ac:dyDescent="0.3">
      <c r="G295" s="28"/>
      <c r="H295" s="28"/>
      <c r="I295" s="28"/>
      <c r="J295" s="31"/>
    </row>
    <row r="296" spans="7:10" x14ac:dyDescent="0.3">
      <c r="G296" s="28"/>
      <c r="H296" s="28"/>
      <c r="I296" s="28"/>
      <c r="J296" s="31"/>
    </row>
    <row r="297" spans="7:10" x14ac:dyDescent="0.3">
      <c r="G297" s="28"/>
      <c r="H297" s="28"/>
      <c r="I297" s="28"/>
      <c r="J297" s="31"/>
    </row>
    <row r="298" spans="7:10" x14ac:dyDescent="0.3">
      <c r="G298" s="28"/>
      <c r="H298" s="28"/>
      <c r="I298" s="28"/>
      <c r="J298" s="31"/>
    </row>
    <row r="299" spans="7:10" x14ac:dyDescent="0.3">
      <c r="G299" s="28"/>
      <c r="H299" s="28"/>
      <c r="I299" s="28"/>
      <c r="J299" s="31"/>
    </row>
    <row r="300" spans="7:10" x14ac:dyDescent="0.3">
      <c r="G300" s="28"/>
      <c r="H300" s="28"/>
      <c r="I300" s="28"/>
      <c r="J300" s="31"/>
    </row>
    <row r="301" spans="7:10" x14ac:dyDescent="0.3">
      <c r="G301" s="28"/>
      <c r="H301" s="28"/>
      <c r="I301" s="28"/>
      <c r="J301" s="31"/>
    </row>
    <row r="302" spans="7:10" x14ac:dyDescent="0.3">
      <c r="G302" s="28"/>
      <c r="H302" s="28"/>
      <c r="I302" s="28"/>
      <c r="J302" s="31"/>
    </row>
    <row r="303" spans="7:10" x14ac:dyDescent="0.3">
      <c r="G303" s="28"/>
      <c r="H303" s="28"/>
      <c r="I303" s="28"/>
      <c r="J303" s="31"/>
    </row>
    <row r="304" spans="7:10" x14ac:dyDescent="0.3">
      <c r="G304" s="28"/>
      <c r="H304" s="28"/>
      <c r="I304" s="28"/>
      <c r="J304" s="31"/>
    </row>
    <row r="305" spans="7:10" x14ac:dyDescent="0.3">
      <c r="G305" s="28"/>
      <c r="H305" s="28"/>
      <c r="I305" s="28"/>
      <c r="J305" s="31"/>
    </row>
    <row r="306" spans="7:10" x14ac:dyDescent="0.3">
      <c r="G306" s="28"/>
      <c r="H306" s="28"/>
      <c r="I306" s="28"/>
      <c r="J306" s="31"/>
    </row>
    <row r="307" spans="7:10" x14ac:dyDescent="0.3">
      <c r="G307" s="28"/>
      <c r="H307" s="28"/>
      <c r="I307" s="28"/>
      <c r="J307" s="31"/>
    </row>
    <row r="308" spans="7:10" x14ac:dyDescent="0.3">
      <c r="G308" s="28"/>
      <c r="H308" s="28"/>
      <c r="I308" s="28"/>
      <c r="J308" s="31"/>
    </row>
    <row r="309" spans="7:10" x14ac:dyDescent="0.3">
      <c r="G309" s="28"/>
      <c r="H309" s="28"/>
      <c r="I309" s="28"/>
      <c r="J309" s="31"/>
    </row>
    <row r="310" spans="7:10" x14ac:dyDescent="0.3">
      <c r="G310" s="28"/>
      <c r="H310" s="28"/>
      <c r="I310" s="28"/>
      <c r="J310" s="31"/>
    </row>
    <row r="311" spans="7:10" x14ac:dyDescent="0.3">
      <c r="G311" s="28"/>
      <c r="H311" s="28"/>
      <c r="I311" s="28"/>
      <c r="J311" s="31"/>
    </row>
    <row r="312" spans="7:10" x14ac:dyDescent="0.3">
      <c r="G312" s="28"/>
      <c r="H312" s="28"/>
      <c r="I312" s="28"/>
      <c r="J312" s="31"/>
    </row>
    <row r="313" spans="7:10" x14ac:dyDescent="0.3">
      <c r="G313" s="28"/>
      <c r="H313" s="28"/>
      <c r="I313" s="28"/>
      <c r="J313" s="31"/>
    </row>
    <row r="314" spans="7:10" x14ac:dyDescent="0.3">
      <c r="G314" s="28"/>
      <c r="H314" s="28"/>
      <c r="I314" s="28"/>
      <c r="J314" s="31"/>
    </row>
    <row r="315" spans="7:10" x14ac:dyDescent="0.3">
      <c r="G315" s="28"/>
      <c r="H315" s="28"/>
      <c r="I315" s="28"/>
      <c r="J315" s="31"/>
    </row>
    <row r="316" spans="7:10" x14ac:dyDescent="0.3">
      <c r="G316" s="28"/>
      <c r="H316" s="28"/>
      <c r="I316" s="28"/>
      <c r="J316" s="31"/>
    </row>
    <row r="317" spans="7:10" x14ac:dyDescent="0.3">
      <c r="G317" s="28"/>
      <c r="H317" s="28"/>
      <c r="I317" s="28"/>
      <c r="J317" s="31"/>
    </row>
    <row r="318" spans="7:10" x14ac:dyDescent="0.3">
      <c r="G318" s="28"/>
      <c r="H318" s="28"/>
      <c r="I318" s="28"/>
      <c r="J318" s="31"/>
    </row>
    <row r="319" spans="7:10" x14ac:dyDescent="0.3">
      <c r="G319" s="28"/>
      <c r="H319" s="28"/>
      <c r="I319" s="28"/>
      <c r="J319" s="31"/>
    </row>
    <row r="320" spans="7:10" x14ac:dyDescent="0.3">
      <c r="G320" s="28"/>
      <c r="H320" s="28"/>
      <c r="I320" s="28"/>
      <c r="J320" s="31"/>
    </row>
    <row r="321" spans="7:10" x14ac:dyDescent="0.3">
      <c r="G321" s="28"/>
      <c r="H321" s="28"/>
      <c r="I321" s="28"/>
      <c r="J321" s="31"/>
    </row>
    <row r="322" spans="7:10" x14ac:dyDescent="0.3">
      <c r="G322" s="28"/>
      <c r="H322" s="28"/>
      <c r="I322" s="28"/>
      <c r="J322" s="31"/>
    </row>
    <row r="323" spans="7:10" x14ac:dyDescent="0.3">
      <c r="G323" s="28"/>
      <c r="H323" s="28"/>
      <c r="I323" s="28"/>
      <c r="J323" s="31"/>
    </row>
    <row r="324" spans="7:10" x14ac:dyDescent="0.3">
      <c r="G324" s="28"/>
      <c r="H324" s="28"/>
      <c r="I324" s="28"/>
      <c r="J324" s="31"/>
    </row>
    <row r="325" spans="7:10" x14ac:dyDescent="0.3">
      <c r="G325" s="28"/>
      <c r="H325" s="28"/>
      <c r="I325" s="28"/>
      <c r="J325" s="31"/>
    </row>
    <row r="326" spans="7:10" x14ac:dyDescent="0.3">
      <c r="G326" s="28"/>
      <c r="H326" s="28"/>
      <c r="I326" s="28"/>
      <c r="J326" s="31"/>
    </row>
    <row r="327" spans="7:10" x14ac:dyDescent="0.3">
      <c r="G327" s="28"/>
      <c r="H327" s="28"/>
      <c r="I327" s="28"/>
      <c r="J327" s="31"/>
    </row>
    <row r="328" spans="7:10" x14ac:dyDescent="0.3">
      <c r="G328" s="28"/>
      <c r="H328" s="28"/>
      <c r="I328" s="28"/>
      <c r="J328" s="31"/>
    </row>
    <row r="329" spans="7:10" x14ac:dyDescent="0.3">
      <c r="G329" s="28"/>
      <c r="H329" s="28"/>
      <c r="I329" s="28"/>
      <c r="J329" s="31"/>
    </row>
    <row r="330" spans="7:10" x14ac:dyDescent="0.3">
      <c r="G330" s="28"/>
      <c r="H330" s="28"/>
      <c r="I330" s="28"/>
      <c r="J330" s="31"/>
    </row>
    <row r="331" spans="7:10" x14ac:dyDescent="0.3">
      <c r="G331" s="28"/>
      <c r="H331" s="28"/>
      <c r="I331" s="28"/>
      <c r="J331" s="31"/>
    </row>
    <row r="332" spans="7:10" x14ac:dyDescent="0.3">
      <c r="G332" s="28"/>
      <c r="H332" s="28"/>
      <c r="I332" s="28"/>
      <c r="J332" s="31"/>
    </row>
    <row r="333" spans="7:10" x14ac:dyDescent="0.3">
      <c r="G333" s="28"/>
      <c r="H333" s="28"/>
      <c r="I333" s="28"/>
      <c r="J333" s="31"/>
    </row>
    <row r="334" spans="7:10" x14ac:dyDescent="0.3">
      <c r="G334" s="28"/>
      <c r="H334" s="28"/>
      <c r="I334" s="28"/>
      <c r="J334" s="31"/>
    </row>
    <row r="335" spans="7:10" x14ac:dyDescent="0.3">
      <c r="G335" s="28"/>
      <c r="H335" s="28"/>
      <c r="I335" s="28"/>
      <c r="J335" s="31"/>
    </row>
    <row r="336" spans="7:10" x14ac:dyDescent="0.3">
      <c r="G336" s="28"/>
      <c r="H336" s="28"/>
      <c r="I336" s="28"/>
      <c r="J336" s="31"/>
    </row>
    <row r="337" spans="7:10" x14ac:dyDescent="0.3">
      <c r="G337" s="28"/>
      <c r="H337" s="28"/>
      <c r="I337" s="28"/>
      <c r="J337" s="31"/>
    </row>
    <row r="338" spans="7:10" x14ac:dyDescent="0.3">
      <c r="G338" s="28"/>
      <c r="H338" s="28"/>
      <c r="I338" s="28"/>
      <c r="J338" s="31"/>
    </row>
    <row r="339" spans="7:10" x14ac:dyDescent="0.3">
      <c r="G339" s="28"/>
      <c r="H339" s="28"/>
      <c r="I339" s="28"/>
      <c r="J339" s="31"/>
    </row>
    <row r="340" spans="7:10" x14ac:dyDescent="0.3">
      <c r="G340" s="28"/>
      <c r="H340" s="28"/>
      <c r="I340" s="28"/>
      <c r="J340" s="31"/>
    </row>
    <row r="341" spans="7:10" x14ac:dyDescent="0.3">
      <c r="G341" s="28"/>
      <c r="H341" s="28"/>
      <c r="I341" s="28"/>
      <c r="J341" s="31"/>
    </row>
    <row r="342" spans="7:10" x14ac:dyDescent="0.3">
      <c r="G342" s="28"/>
      <c r="H342" s="28"/>
      <c r="I342" s="28"/>
      <c r="J342" s="31"/>
    </row>
    <row r="343" spans="7:10" x14ac:dyDescent="0.3">
      <c r="G343" s="28"/>
      <c r="H343" s="28"/>
      <c r="I343" s="28"/>
      <c r="J343" s="31"/>
    </row>
    <row r="344" spans="7:10" x14ac:dyDescent="0.3">
      <c r="G344" s="28"/>
      <c r="H344" s="28"/>
      <c r="I344" s="28"/>
      <c r="J344" s="31"/>
    </row>
    <row r="345" spans="7:10" x14ac:dyDescent="0.3">
      <c r="G345" s="28"/>
      <c r="H345" s="28"/>
      <c r="I345" s="28"/>
      <c r="J345" s="31"/>
    </row>
    <row r="346" spans="7:10" x14ac:dyDescent="0.3">
      <c r="G346" s="28"/>
      <c r="H346" s="28"/>
      <c r="I346" s="28"/>
      <c r="J346" s="31"/>
    </row>
    <row r="347" spans="7:10" x14ac:dyDescent="0.3">
      <c r="G347" s="28"/>
      <c r="H347" s="28"/>
      <c r="I347" s="28"/>
      <c r="J347" s="31"/>
    </row>
    <row r="348" spans="7:10" x14ac:dyDescent="0.3">
      <c r="G348" s="28"/>
      <c r="H348" s="28"/>
      <c r="I348" s="28"/>
      <c r="J348" s="31"/>
    </row>
    <row r="349" spans="7:10" x14ac:dyDescent="0.3">
      <c r="G349" s="28"/>
      <c r="H349" s="28"/>
      <c r="I349" s="28"/>
      <c r="J349" s="31"/>
    </row>
    <row r="350" spans="7:10" x14ac:dyDescent="0.3">
      <c r="G350" s="28"/>
      <c r="H350" s="28"/>
      <c r="I350" s="28"/>
      <c r="J350" s="31"/>
    </row>
    <row r="351" spans="7:10" x14ac:dyDescent="0.3">
      <c r="G351" s="28"/>
      <c r="H351" s="28"/>
      <c r="I351" s="28"/>
      <c r="J351" s="31"/>
    </row>
    <row r="352" spans="7:10" x14ac:dyDescent="0.3">
      <c r="G352" s="28"/>
      <c r="H352" s="28"/>
      <c r="I352" s="28"/>
      <c r="J352" s="31"/>
    </row>
    <row r="353" spans="7:10" x14ac:dyDescent="0.3">
      <c r="G353" s="28"/>
      <c r="H353" s="28"/>
      <c r="I353" s="28"/>
      <c r="J353" s="31"/>
    </row>
    <row r="354" spans="7:10" x14ac:dyDescent="0.3">
      <c r="G354" s="28"/>
      <c r="H354" s="28"/>
      <c r="I354" s="28"/>
      <c r="J354" s="31"/>
    </row>
    <row r="355" spans="7:10" x14ac:dyDescent="0.3">
      <c r="G355" s="28"/>
      <c r="H355" s="28"/>
      <c r="I355" s="28"/>
      <c r="J355" s="31"/>
    </row>
    <row r="356" spans="7:10" x14ac:dyDescent="0.3">
      <c r="G356" s="28"/>
      <c r="H356" s="28"/>
      <c r="I356" s="28"/>
      <c r="J356" s="31"/>
    </row>
    <row r="357" spans="7:10" x14ac:dyDescent="0.3">
      <c r="G357" s="28"/>
      <c r="H357" s="28"/>
      <c r="I357" s="28"/>
      <c r="J357" s="31"/>
    </row>
    <row r="358" spans="7:10" x14ac:dyDescent="0.3">
      <c r="G358" s="28"/>
      <c r="H358" s="28"/>
      <c r="I358" s="28"/>
      <c r="J358" s="31"/>
    </row>
    <row r="359" spans="7:10" x14ac:dyDescent="0.3">
      <c r="G359" s="28"/>
      <c r="H359" s="28"/>
      <c r="I359" s="28"/>
      <c r="J359" s="31"/>
    </row>
    <row r="360" spans="7:10" x14ac:dyDescent="0.3">
      <c r="G360" s="28"/>
      <c r="H360" s="28"/>
      <c r="I360" s="28"/>
      <c r="J360" s="31"/>
    </row>
    <row r="361" spans="7:10" x14ac:dyDescent="0.3">
      <c r="G361" s="28"/>
      <c r="H361" s="28"/>
      <c r="I361" s="28"/>
      <c r="J361" s="31"/>
    </row>
    <row r="362" spans="7:10" x14ac:dyDescent="0.3">
      <c r="G362" s="28"/>
      <c r="H362" s="28"/>
      <c r="I362" s="28"/>
      <c r="J362" s="31"/>
    </row>
    <row r="363" spans="7:10" x14ac:dyDescent="0.3">
      <c r="G363" s="28"/>
      <c r="H363" s="28"/>
      <c r="I363" s="28"/>
      <c r="J363" s="31"/>
    </row>
    <row r="364" spans="7:10" x14ac:dyDescent="0.3">
      <c r="G364" s="28"/>
      <c r="H364" s="28"/>
      <c r="I364" s="28"/>
      <c r="J364" s="31"/>
    </row>
    <row r="365" spans="7:10" x14ac:dyDescent="0.3">
      <c r="G365" s="28"/>
      <c r="H365" s="28"/>
      <c r="I365" s="28"/>
      <c r="J365" s="31"/>
    </row>
    <row r="366" spans="7:10" x14ac:dyDescent="0.3">
      <c r="G366" s="28"/>
      <c r="H366" s="28"/>
      <c r="I366" s="28"/>
      <c r="J366" s="31"/>
    </row>
    <row r="367" spans="7:10" x14ac:dyDescent="0.3">
      <c r="G367" s="28"/>
      <c r="H367" s="28"/>
      <c r="I367" s="28"/>
      <c r="J367" s="31"/>
    </row>
    <row r="368" spans="7:10" x14ac:dyDescent="0.3">
      <c r="G368" s="28"/>
      <c r="H368" s="28"/>
      <c r="I368" s="28"/>
      <c r="J368" s="31"/>
    </row>
    <row r="369" spans="7:10" x14ac:dyDescent="0.3">
      <c r="G369" s="28"/>
      <c r="H369" s="28"/>
      <c r="I369" s="28"/>
      <c r="J369" s="31"/>
    </row>
    <row r="370" spans="7:10" x14ac:dyDescent="0.3">
      <c r="G370" s="28"/>
      <c r="H370" s="28"/>
      <c r="I370" s="28"/>
      <c r="J370" s="31"/>
    </row>
    <row r="371" spans="7:10" x14ac:dyDescent="0.3">
      <c r="G371" s="28"/>
      <c r="H371" s="28"/>
      <c r="I371" s="28"/>
      <c r="J371" s="31"/>
    </row>
    <row r="372" spans="7:10" x14ac:dyDescent="0.3">
      <c r="G372" s="28"/>
      <c r="H372" s="28"/>
      <c r="I372" s="28"/>
      <c r="J372" s="31"/>
    </row>
    <row r="373" spans="7:10" x14ac:dyDescent="0.3">
      <c r="G373" s="28"/>
      <c r="H373" s="28"/>
      <c r="I373" s="28"/>
      <c r="J373" s="31"/>
    </row>
    <row r="374" spans="7:10" x14ac:dyDescent="0.3">
      <c r="G374" s="28"/>
      <c r="H374" s="28"/>
      <c r="I374" s="28"/>
      <c r="J374" s="31"/>
    </row>
    <row r="375" spans="7:10" x14ac:dyDescent="0.3">
      <c r="G375" s="28"/>
      <c r="H375" s="28"/>
      <c r="I375" s="28"/>
      <c r="J375" s="31"/>
    </row>
    <row r="376" spans="7:10" x14ac:dyDescent="0.3">
      <c r="G376" s="28"/>
      <c r="H376" s="28"/>
      <c r="I376" s="28"/>
      <c r="J376" s="31"/>
    </row>
    <row r="377" spans="7:10" x14ac:dyDescent="0.3">
      <c r="G377" s="28"/>
      <c r="H377" s="28"/>
      <c r="I377" s="28"/>
      <c r="J377" s="31"/>
    </row>
    <row r="378" spans="7:10" x14ac:dyDescent="0.3">
      <c r="G378" s="28"/>
      <c r="H378" s="28"/>
      <c r="I378" s="28"/>
      <c r="J378" s="31"/>
    </row>
    <row r="379" spans="7:10" x14ac:dyDescent="0.3">
      <c r="G379" s="28"/>
      <c r="H379" s="28"/>
      <c r="I379" s="28"/>
      <c r="J379" s="31"/>
    </row>
    <row r="380" spans="7:10" x14ac:dyDescent="0.3">
      <c r="G380" s="28"/>
      <c r="H380" s="28"/>
      <c r="I380" s="28"/>
      <c r="J380" s="31"/>
    </row>
    <row r="381" spans="7:10" x14ac:dyDescent="0.3">
      <c r="G381" s="28"/>
      <c r="H381" s="28"/>
      <c r="I381" s="28"/>
      <c r="J381" s="31"/>
    </row>
    <row r="382" spans="7:10" x14ac:dyDescent="0.3">
      <c r="G382" s="28"/>
      <c r="H382" s="28"/>
      <c r="I382" s="28"/>
      <c r="J382" s="31"/>
    </row>
    <row r="383" spans="7:10" x14ac:dyDescent="0.3">
      <c r="G383" s="28"/>
      <c r="H383" s="28"/>
      <c r="I383" s="28"/>
      <c r="J383" s="31"/>
    </row>
    <row r="384" spans="7:10" x14ac:dyDescent="0.3">
      <c r="G384" s="28"/>
      <c r="H384" s="28"/>
      <c r="I384" s="28"/>
      <c r="J384" s="31"/>
    </row>
    <row r="385" spans="7:10" x14ac:dyDescent="0.3">
      <c r="G385" s="28"/>
      <c r="H385" s="28"/>
      <c r="I385" s="28"/>
      <c r="J385" s="31"/>
    </row>
    <row r="386" spans="7:10" x14ac:dyDescent="0.3">
      <c r="G386" s="28"/>
      <c r="H386" s="28"/>
      <c r="I386" s="28"/>
      <c r="J386" s="31"/>
    </row>
    <row r="387" spans="7:10" x14ac:dyDescent="0.3">
      <c r="G387" s="28"/>
      <c r="H387" s="28"/>
      <c r="I387" s="28"/>
      <c r="J387" s="31"/>
    </row>
    <row r="388" spans="7:10" x14ac:dyDescent="0.3">
      <c r="G388" s="28"/>
      <c r="H388" s="28"/>
      <c r="I388" s="28"/>
      <c r="J388" s="31"/>
    </row>
    <row r="389" spans="7:10" x14ac:dyDescent="0.3">
      <c r="G389" s="28"/>
      <c r="H389" s="28"/>
      <c r="I389" s="28"/>
      <c r="J389" s="31"/>
    </row>
    <row r="390" spans="7:10" x14ac:dyDescent="0.3">
      <c r="G390" s="28"/>
      <c r="H390" s="28"/>
      <c r="I390" s="28"/>
      <c r="J390" s="31"/>
    </row>
    <row r="391" spans="7:10" x14ac:dyDescent="0.3">
      <c r="G391" s="28"/>
      <c r="H391" s="28"/>
      <c r="I391" s="28"/>
      <c r="J391" s="31"/>
    </row>
    <row r="392" spans="7:10" x14ac:dyDescent="0.3">
      <c r="G392" s="28"/>
      <c r="H392" s="28"/>
      <c r="I392" s="28"/>
      <c r="J392" s="31"/>
    </row>
    <row r="393" spans="7:10" x14ac:dyDescent="0.3">
      <c r="G393" s="28"/>
      <c r="H393" s="28"/>
      <c r="I393" s="28"/>
      <c r="J393" s="31"/>
    </row>
    <row r="394" spans="7:10" x14ac:dyDescent="0.3">
      <c r="G394" s="28"/>
      <c r="H394" s="28"/>
      <c r="I394" s="28"/>
      <c r="J394" s="31"/>
    </row>
    <row r="395" spans="7:10" x14ac:dyDescent="0.3">
      <c r="G395" s="28"/>
      <c r="H395" s="28"/>
      <c r="I395" s="28"/>
      <c r="J395" s="31"/>
    </row>
    <row r="396" spans="7:10" x14ac:dyDescent="0.3">
      <c r="G396" s="28"/>
      <c r="H396" s="28"/>
      <c r="I396" s="28"/>
      <c r="J396" s="31"/>
    </row>
    <row r="397" spans="7:10" x14ac:dyDescent="0.3">
      <c r="G397" s="28"/>
      <c r="H397" s="28"/>
      <c r="I397" s="28"/>
      <c r="J397" s="31"/>
    </row>
    <row r="398" spans="7:10" x14ac:dyDescent="0.3">
      <c r="G398" s="28"/>
      <c r="H398" s="28"/>
      <c r="I398" s="28"/>
      <c r="J398" s="31"/>
    </row>
    <row r="399" spans="7:10" x14ac:dyDescent="0.3">
      <c r="G399" s="28"/>
      <c r="H399" s="28"/>
      <c r="I399" s="28"/>
      <c r="J399" s="31"/>
    </row>
    <row r="400" spans="7:10" x14ac:dyDescent="0.3">
      <c r="G400" s="28"/>
      <c r="H400" s="28"/>
      <c r="I400" s="28"/>
      <c r="J400" s="31"/>
    </row>
    <row r="401" spans="7:10" x14ac:dyDescent="0.3">
      <c r="G401" s="28"/>
      <c r="H401" s="28"/>
      <c r="I401" s="28"/>
      <c r="J401" s="31"/>
    </row>
    <row r="402" spans="7:10" x14ac:dyDescent="0.3">
      <c r="G402" s="28"/>
      <c r="H402" s="28"/>
      <c r="I402" s="28"/>
      <c r="J402" s="31"/>
    </row>
    <row r="403" spans="7:10" x14ac:dyDescent="0.3">
      <c r="G403" s="28"/>
      <c r="H403" s="28"/>
      <c r="I403" s="28"/>
      <c r="J403" s="31"/>
    </row>
    <row r="404" spans="7:10" x14ac:dyDescent="0.3">
      <c r="G404" s="28"/>
      <c r="H404" s="28"/>
      <c r="I404" s="28"/>
      <c r="J404" s="31"/>
    </row>
    <row r="405" spans="7:10" x14ac:dyDescent="0.3">
      <c r="G405" s="28"/>
      <c r="H405" s="28"/>
      <c r="I405" s="28"/>
      <c r="J405" s="31"/>
    </row>
    <row r="406" spans="7:10" x14ac:dyDescent="0.3">
      <c r="G406" s="28"/>
      <c r="H406" s="28"/>
      <c r="I406" s="28"/>
      <c r="J406" s="31"/>
    </row>
    <row r="407" spans="7:10" x14ac:dyDescent="0.3">
      <c r="G407" s="28"/>
      <c r="H407" s="28"/>
      <c r="I407" s="28"/>
      <c r="J407" s="31"/>
    </row>
    <row r="408" spans="7:10" x14ac:dyDescent="0.3">
      <c r="G408" s="28"/>
      <c r="H408" s="28"/>
      <c r="I408" s="28"/>
      <c r="J408" s="31"/>
    </row>
    <row r="409" spans="7:10" x14ac:dyDescent="0.3">
      <c r="G409" s="28"/>
      <c r="H409" s="28"/>
      <c r="I409" s="28"/>
      <c r="J409" s="31"/>
    </row>
    <row r="410" spans="7:10" x14ac:dyDescent="0.3">
      <c r="G410" s="28"/>
      <c r="H410" s="28"/>
      <c r="I410" s="28"/>
      <c r="J410" s="31"/>
    </row>
    <row r="411" spans="7:10" x14ac:dyDescent="0.3">
      <c r="G411" s="28"/>
      <c r="H411" s="28"/>
      <c r="I411" s="28"/>
      <c r="J411" s="31"/>
    </row>
    <row r="412" spans="7:10" x14ac:dyDescent="0.3">
      <c r="G412" s="28"/>
      <c r="H412" s="28"/>
      <c r="I412" s="28"/>
      <c r="J412" s="31"/>
    </row>
    <row r="413" spans="7:10" x14ac:dyDescent="0.3">
      <c r="G413" s="28"/>
      <c r="H413" s="28"/>
      <c r="I413" s="28"/>
      <c r="J413" s="31"/>
    </row>
    <row r="414" spans="7:10" x14ac:dyDescent="0.3">
      <c r="G414" s="28"/>
      <c r="H414" s="28"/>
      <c r="I414" s="28"/>
      <c r="J414" s="31"/>
    </row>
    <row r="415" spans="7:10" x14ac:dyDescent="0.3">
      <c r="G415" s="28"/>
      <c r="H415" s="28"/>
      <c r="I415" s="28"/>
      <c r="J415" s="31"/>
    </row>
    <row r="416" spans="7:10" x14ac:dyDescent="0.3">
      <c r="G416" s="28"/>
      <c r="H416" s="28"/>
      <c r="I416" s="28"/>
      <c r="J416" s="31"/>
    </row>
    <row r="417" spans="7:10" x14ac:dyDescent="0.3">
      <c r="G417" s="28"/>
      <c r="H417" s="28"/>
      <c r="I417" s="28"/>
      <c r="J417" s="31"/>
    </row>
    <row r="418" spans="7:10" x14ac:dyDescent="0.3">
      <c r="G418" s="28"/>
      <c r="H418" s="28"/>
      <c r="I418" s="28"/>
      <c r="J418" s="31"/>
    </row>
    <row r="419" spans="7:10" x14ac:dyDescent="0.3">
      <c r="G419" s="28"/>
      <c r="H419" s="28"/>
      <c r="I419" s="28"/>
      <c r="J419" s="31"/>
    </row>
    <row r="420" spans="7:10" x14ac:dyDescent="0.3">
      <c r="G420" s="28"/>
      <c r="H420" s="28"/>
      <c r="I420" s="28"/>
      <c r="J420" s="31"/>
    </row>
    <row r="421" spans="7:10" x14ac:dyDescent="0.3">
      <c r="G421" s="28"/>
      <c r="H421" s="28"/>
      <c r="I421" s="28"/>
      <c r="J421" s="31"/>
    </row>
    <row r="422" spans="7:10" x14ac:dyDescent="0.3">
      <c r="G422" s="28"/>
      <c r="H422" s="28"/>
      <c r="I422" s="28"/>
      <c r="J422" s="31"/>
    </row>
    <row r="423" spans="7:10" x14ac:dyDescent="0.3">
      <c r="G423" s="28"/>
      <c r="H423" s="28"/>
      <c r="I423" s="28"/>
      <c r="J423" s="31"/>
    </row>
    <row r="424" spans="7:10" x14ac:dyDescent="0.3">
      <c r="G424" s="28"/>
      <c r="H424" s="28"/>
      <c r="I424" s="28"/>
      <c r="J424" s="31"/>
    </row>
    <row r="425" spans="7:10" x14ac:dyDescent="0.3">
      <c r="G425" s="28"/>
      <c r="H425" s="28"/>
      <c r="I425" s="28"/>
      <c r="J425" s="31"/>
    </row>
    <row r="426" spans="7:10" x14ac:dyDescent="0.3">
      <c r="G426" s="28"/>
      <c r="H426" s="28"/>
      <c r="I426" s="28"/>
      <c r="J426" s="31"/>
    </row>
    <row r="427" spans="7:10" x14ac:dyDescent="0.3">
      <c r="G427" s="28"/>
      <c r="H427" s="28"/>
      <c r="I427" s="28"/>
      <c r="J427" s="31"/>
    </row>
    <row r="428" spans="7:10" x14ac:dyDescent="0.3">
      <c r="G428" s="28"/>
      <c r="H428" s="28"/>
      <c r="I428" s="28"/>
      <c r="J428" s="31"/>
    </row>
    <row r="429" spans="7:10" x14ac:dyDescent="0.3">
      <c r="G429" s="28"/>
      <c r="H429" s="28"/>
      <c r="I429" s="28"/>
      <c r="J429" s="31"/>
    </row>
    <row r="430" spans="7:10" x14ac:dyDescent="0.3">
      <c r="G430" s="28"/>
      <c r="H430" s="28"/>
      <c r="I430" s="28"/>
      <c r="J430" s="31"/>
    </row>
    <row r="431" spans="7:10" x14ac:dyDescent="0.3">
      <c r="G431" s="28"/>
      <c r="H431" s="28"/>
      <c r="I431" s="28"/>
      <c r="J431" s="31"/>
    </row>
    <row r="432" spans="7:10" x14ac:dyDescent="0.3">
      <c r="G432" s="28"/>
      <c r="H432" s="28"/>
      <c r="I432" s="28"/>
      <c r="J432" s="31"/>
    </row>
    <row r="433" spans="7:10" x14ac:dyDescent="0.3">
      <c r="G433" s="28"/>
      <c r="H433" s="28"/>
      <c r="I433" s="28"/>
      <c r="J433" s="31"/>
    </row>
    <row r="434" spans="7:10" x14ac:dyDescent="0.3">
      <c r="G434" s="28"/>
      <c r="H434" s="28"/>
      <c r="I434" s="28"/>
      <c r="J434" s="31"/>
    </row>
    <row r="435" spans="7:10" x14ac:dyDescent="0.3">
      <c r="G435" s="28"/>
      <c r="H435" s="28"/>
      <c r="I435" s="28"/>
      <c r="J435" s="31"/>
    </row>
    <row r="436" spans="7:10" x14ac:dyDescent="0.3">
      <c r="G436" s="28"/>
      <c r="H436" s="28"/>
      <c r="I436" s="28"/>
      <c r="J436" s="31"/>
    </row>
    <row r="437" spans="7:10" x14ac:dyDescent="0.3">
      <c r="G437" s="28"/>
      <c r="H437" s="28"/>
      <c r="I437" s="28"/>
      <c r="J437" s="31"/>
    </row>
    <row r="438" spans="7:10" x14ac:dyDescent="0.3">
      <c r="G438" s="28"/>
      <c r="H438" s="28"/>
      <c r="I438" s="28"/>
      <c r="J438" s="31"/>
    </row>
    <row r="439" spans="7:10" x14ac:dyDescent="0.3">
      <c r="G439" s="28"/>
      <c r="H439" s="28"/>
      <c r="I439" s="28"/>
      <c r="J439" s="31"/>
    </row>
    <row r="440" spans="7:10" x14ac:dyDescent="0.3">
      <c r="G440" s="28"/>
      <c r="H440" s="28"/>
      <c r="I440" s="28"/>
      <c r="J440" s="31"/>
    </row>
    <row r="441" spans="7:10" x14ac:dyDescent="0.3">
      <c r="G441" s="28"/>
      <c r="H441" s="28"/>
      <c r="I441" s="28"/>
      <c r="J441" s="31"/>
    </row>
    <row r="442" spans="7:10" x14ac:dyDescent="0.3">
      <c r="G442" s="28"/>
      <c r="H442" s="28"/>
      <c r="I442" s="28"/>
      <c r="J442" s="31"/>
    </row>
    <row r="443" spans="7:10" x14ac:dyDescent="0.3">
      <c r="G443" s="28"/>
      <c r="H443" s="28"/>
      <c r="I443" s="28"/>
      <c r="J443" s="31"/>
    </row>
    <row r="444" spans="7:10" x14ac:dyDescent="0.3">
      <c r="G444" s="28"/>
      <c r="H444" s="28"/>
      <c r="I444" s="28"/>
      <c r="J444" s="31"/>
    </row>
    <row r="445" spans="7:10" x14ac:dyDescent="0.3">
      <c r="G445" s="28"/>
      <c r="H445" s="28"/>
      <c r="I445" s="28"/>
      <c r="J445" s="31"/>
    </row>
    <row r="446" spans="7:10" x14ac:dyDescent="0.3">
      <c r="G446" s="28"/>
      <c r="H446" s="28"/>
      <c r="I446" s="28"/>
      <c r="J446" s="31"/>
    </row>
    <row r="447" spans="7:10" x14ac:dyDescent="0.3">
      <c r="G447" s="28"/>
      <c r="H447" s="28"/>
      <c r="I447" s="28"/>
      <c r="J447" s="31"/>
    </row>
    <row r="448" spans="7:10" x14ac:dyDescent="0.3">
      <c r="G448" s="28"/>
      <c r="H448" s="28"/>
      <c r="I448" s="28"/>
      <c r="J448" s="31"/>
    </row>
    <row r="449" spans="7:10" x14ac:dyDescent="0.3">
      <c r="G449" s="28"/>
      <c r="H449" s="28"/>
      <c r="I449" s="28"/>
      <c r="J449" s="31"/>
    </row>
    <row r="450" spans="7:10" x14ac:dyDescent="0.3">
      <c r="G450" s="28"/>
      <c r="H450" s="28"/>
      <c r="I450" s="28"/>
      <c r="J450" s="31"/>
    </row>
    <row r="451" spans="7:10" x14ac:dyDescent="0.3">
      <c r="G451" s="28"/>
      <c r="H451" s="28"/>
      <c r="I451" s="28"/>
      <c r="J451" s="31"/>
    </row>
    <row r="452" spans="7:10" x14ac:dyDescent="0.3">
      <c r="G452" s="28"/>
      <c r="H452" s="28"/>
      <c r="I452" s="28"/>
      <c r="J452" s="31"/>
    </row>
    <row r="453" spans="7:10" x14ac:dyDescent="0.3">
      <c r="G453" s="28"/>
      <c r="H453" s="28"/>
      <c r="I453" s="28"/>
      <c r="J453" s="31"/>
    </row>
    <row r="454" spans="7:10" x14ac:dyDescent="0.3">
      <c r="G454" s="28"/>
      <c r="H454" s="28"/>
      <c r="I454" s="28"/>
      <c r="J454" s="31"/>
    </row>
    <row r="455" spans="7:10" x14ac:dyDescent="0.3">
      <c r="G455" s="28"/>
      <c r="H455" s="28"/>
      <c r="I455" s="28"/>
      <c r="J455" s="31"/>
    </row>
    <row r="456" spans="7:10" x14ac:dyDescent="0.3">
      <c r="G456" s="28"/>
      <c r="H456" s="28"/>
      <c r="I456" s="28"/>
      <c r="J456" s="31"/>
    </row>
    <row r="457" spans="7:10" x14ac:dyDescent="0.3">
      <c r="G457" s="28"/>
      <c r="H457" s="28"/>
      <c r="I457" s="28"/>
      <c r="J457" s="31"/>
    </row>
    <row r="458" spans="7:10" x14ac:dyDescent="0.3">
      <c r="G458" s="28"/>
      <c r="H458" s="28"/>
      <c r="I458" s="28"/>
      <c r="J458" s="31"/>
    </row>
    <row r="459" spans="7:10" x14ac:dyDescent="0.3">
      <c r="G459" s="28"/>
      <c r="H459" s="28"/>
      <c r="I459" s="28"/>
      <c r="J459" s="31"/>
    </row>
    <row r="460" spans="7:10" x14ac:dyDescent="0.3">
      <c r="G460" s="28"/>
      <c r="H460" s="28"/>
      <c r="I460" s="28"/>
      <c r="J460" s="31"/>
    </row>
    <row r="461" spans="7:10" x14ac:dyDescent="0.3">
      <c r="G461" s="28"/>
      <c r="H461" s="28"/>
      <c r="I461" s="28"/>
      <c r="J461" s="31"/>
    </row>
    <row r="462" spans="7:10" x14ac:dyDescent="0.3">
      <c r="G462" s="28"/>
      <c r="H462" s="28"/>
      <c r="I462" s="28"/>
      <c r="J462" s="31"/>
    </row>
    <row r="463" spans="7:10" x14ac:dyDescent="0.3">
      <c r="G463" s="28"/>
      <c r="H463" s="28"/>
      <c r="I463" s="28"/>
      <c r="J463" s="31"/>
    </row>
    <row r="464" spans="7:10" x14ac:dyDescent="0.3">
      <c r="G464" s="28"/>
      <c r="H464" s="28"/>
      <c r="I464" s="28"/>
      <c r="J464" s="31"/>
    </row>
    <row r="465" spans="7:10" x14ac:dyDescent="0.3">
      <c r="G465" s="28"/>
      <c r="H465" s="28"/>
      <c r="I465" s="28"/>
      <c r="J465" s="31"/>
    </row>
    <row r="466" spans="7:10" x14ac:dyDescent="0.3">
      <c r="G466" s="28"/>
      <c r="H466" s="28"/>
      <c r="I466" s="28"/>
      <c r="J466" s="31"/>
    </row>
    <row r="467" spans="7:10" x14ac:dyDescent="0.3">
      <c r="G467" s="28"/>
      <c r="H467" s="28"/>
      <c r="I467" s="28"/>
      <c r="J467" s="31"/>
    </row>
    <row r="468" spans="7:10" x14ac:dyDescent="0.3">
      <c r="G468" s="28"/>
      <c r="H468" s="28"/>
      <c r="I468" s="28"/>
      <c r="J468" s="31"/>
    </row>
    <row r="469" spans="7:10" x14ac:dyDescent="0.3">
      <c r="G469" s="28"/>
      <c r="H469" s="28"/>
      <c r="I469" s="28"/>
      <c r="J469" s="31"/>
    </row>
    <row r="470" spans="7:10" x14ac:dyDescent="0.3">
      <c r="G470" s="28"/>
      <c r="H470" s="28"/>
      <c r="I470" s="28"/>
      <c r="J470" s="31"/>
    </row>
    <row r="471" spans="7:10" x14ac:dyDescent="0.3">
      <c r="G471" s="28"/>
      <c r="H471" s="28"/>
      <c r="I471" s="28"/>
      <c r="J471" s="31"/>
    </row>
    <row r="472" spans="7:10" x14ac:dyDescent="0.3">
      <c r="G472" s="28"/>
      <c r="H472" s="28"/>
      <c r="I472" s="28"/>
      <c r="J472" s="31"/>
    </row>
    <row r="473" spans="7:10" x14ac:dyDescent="0.3">
      <c r="G473" s="28"/>
      <c r="H473" s="28"/>
      <c r="I473" s="28"/>
      <c r="J473" s="31"/>
    </row>
    <row r="474" spans="7:10" x14ac:dyDescent="0.3">
      <c r="G474" s="28"/>
      <c r="H474" s="28"/>
      <c r="I474" s="28"/>
      <c r="J474" s="31"/>
    </row>
    <row r="475" spans="7:10" x14ac:dyDescent="0.3">
      <c r="G475" s="28"/>
      <c r="H475" s="28"/>
      <c r="I475" s="28"/>
      <c r="J475" s="31"/>
    </row>
    <row r="476" spans="7:10" x14ac:dyDescent="0.3">
      <c r="G476" s="28"/>
      <c r="H476" s="28"/>
      <c r="I476" s="28"/>
      <c r="J476" s="31"/>
    </row>
    <row r="477" spans="7:10" x14ac:dyDescent="0.3">
      <c r="G477" s="28"/>
      <c r="H477" s="28"/>
      <c r="I477" s="28"/>
      <c r="J477" s="31"/>
    </row>
    <row r="478" spans="7:10" x14ac:dyDescent="0.3">
      <c r="G478" s="28"/>
      <c r="H478" s="28"/>
      <c r="I478" s="28"/>
      <c r="J478" s="31"/>
    </row>
    <row r="479" spans="7:10" x14ac:dyDescent="0.3">
      <c r="G479" s="28"/>
      <c r="H479" s="28"/>
      <c r="I479" s="28"/>
      <c r="J479" s="31"/>
    </row>
    <row r="480" spans="7:10" x14ac:dyDescent="0.3">
      <c r="G480" s="28"/>
      <c r="H480" s="28"/>
      <c r="I480" s="28"/>
      <c r="J480" s="31"/>
    </row>
    <row r="481" spans="7:10" x14ac:dyDescent="0.3">
      <c r="G481" s="28"/>
      <c r="H481" s="28"/>
      <c r="I481" s="28"/>
      <c r="J481" s="31"/>
    </row>
    <row r="482" spans="7:10" x14ac:dyDescent="0.3">
      <c r="G482" s="28"/>
      <c r="H482" s="28"/>
      <c r="I482" s="28"/>
      <c r="J482" s="31"/>
    </row>
    <row r="483" spans="7:10" x14ac:dyDescent="0.3">
      <c r="G483" s="28"/>
      <c r="H483" s="28"/>
      <c r="I483" s="28"/>
      <c r="J483" s="31"/>
    </row>
    <row r="484" spans="7:10" x14ac:dyDescent="0.3">
      <c r="G484" s="28"/>
      <c r="H484" s="28"/>
      <c r="I484" s="28"/>
      <c r="J484" s="31"/>
    </row>
    <row r="485" spans="7:10" x14ac:dyDescent="0.3">
      <c r="G485" s="28"/>
      <c r="H485" s="28"/>
      <c r="I485" s="28"/>
      <c r="J485" s="31"/>
    </row>
    <row r="486" spans="7:10" x14ac:dyDescent="0.3">
      <c r="G486" s="28"/>
      <c r="H486" s="28"/>
      <c r="I486" s="28"/>
      <c r="J486" s="31"/>
    </row>
    <row r="487" spans="7:10" x14ac:dyDescent="0.3">
      <c r="G487" s="28"/>
      <c r="H487" s="28"/>
      <c r="I487" s="28"/>
      <c r="J487" s="31"/>
    </row>
    <row r="488" spans="7:10" x14ac:dyDescent="0.3">
      <c r="G488" s="28"/>
      <c r="H488" s="28"/>
      <c r="I488" s="28"/>
      <c r="J488" s="31"/>
    </row>
    <row r="489" spans="7:10" x14ac:dyDescent="0.3">
      <c r="G489" s="28"/>
      <c r="H489" s="28"/>
      <c r="I489" s="28"/>
      <c r="J489" s="31"/>
    </row>
    <row r="490" spans="7:10" x14ac:dyDescent="0.3">
      <c r="G490" s="28"/>
      <c r="H490" s="28"/>
      <c r="I490" s="28"/>
      <c r="J490" s="31"/>
    </row>
    <row r="491" spans="7:10" x14ac:dyDescent="0.3">
      <c r="G491" s="28"/>
      <c r="H491" s="28"/>
      <c r="I491" s="28"/>
      <c r="J491" s="31"/>
    </row>
    <row r="492" spans="7:10" x14ac:dyDescent="0.3">
      <c r="G492" s="28"/>
      <c r="H492" s="28"/>
      <c r="I492" s="28"/>
      <c r="J492" s="31"/>
    </row>
    <row r="493" spans="7:10" x14ac:dyDescent="0.3">
      <c r="G493" s="28"/>
      <c r="H493" s="28"/>
      <c r="I493" s="28"/>
      <c r="J493" s="31"/>
    </row>
    <row r="494" spans="7:10" x14ac:dyDescent="0.3">
      <c r="G494" s="28"/>
      <c r="H494" s="28"/>
      <c r="I494" s="28"/>
      <c r="J494" s="31"/>
    </row>
    <row r="495" spans="7:10" x14ac:dyDescent="0.3">
      <c r="G495" s="28"/>
      <c r="H495" s="28"/>
      <c r="I495" s="28"/>
      <c r="J495" s="31"/>
    </row>
    <row r="496" spans="7:10" x14ac:dyDescent="0.3">
      <c r="G496" s="28"/>
      <c r="H496" s="28"/>
      <c r="I496" s="28"/>
      <c r="J496" s="31"/>
    </row>
    <row r="497" spans="7:10" x14ac:dyDescent="0.3">
      <c r="G497" s="28"/>
      <c r="H497" s="28"/>
      <c r="I497" s="28"/>
      <c r="J497" s="31"/>
    </row>
    <row r="498" spans="7:10" x14ac:dyDescent="0.3">
      <c r="G498" s="28"/>
      <c r="H498" s="28"/>
      <c r="I498" s="28"/>
      <c r="J498" s="31"/>
    </row>
    <row r="499" spans="7:10" x14ac:dyDescent="0.3">
      <c r="G499" s="28"/>
      <c r="H499" s="28"/>
      <c r="I499" s="28"/>
      <c r="J499" s="31"/>
    </row>
    <row r="500" spans="7:10" x14ac:dyDescent="0.3">
      <c r="G500" s="28"/>
      <c r="H500" s="28"/>
      <c r="I500" s="28"/>
      <c r="J500" s="31"/>
    </row>
    <row r="501" spans="7:10" x14ac:dyDescent="0.3">
      <c r="G501" s="28"/>
      <c r="H501" s="28"/>
      <c r="I501" s="28"/>
      <c r="J501" s="31"/>
    </row>
    <row r="502" spans="7:10" x14ac:dyDescent="0.3">
      <c r="G502" s="28"/>
      <c r="H502" s="28"/>
      <c r="I502" s="28"/>
      <c r="J502" s="31"/>
    </row>
    <row r="503" spans="7:10" x14ac:dyDescent="0.3">
      <c r="G503" s="28"/>
      <c r="H503" s="28"/>
      <c r="I503" s="28"/>
      <c r="J503" s="31"/>
    </row>
    <row r="504" spans="7:10" x14ac:dyDescent="0.3">
      <c r="G504" s="28"/>
      <c r="H504" s="28"/>
      <c r="I504" s="28"/>
      <c r="J504" s="31"/>
    </row>
    <row r="505" spans="7:10" x14ac:dyDescent="0.3">
      <c r="G505" s="28"/>
      <c r="H505" s="28"/>
      <c r="I505" s="28"/>
      <c r="J505" s="31"/>
    </row>
    <row r="506" spans="7:10" x14ac:dyDescent="0.3">
      <c r="G506" s="28"/>
      <c r="H506" s="28"/>
      <c r="I506" s="28"/>
      <c r="J506" s="31"/>
    </row>
    <row r="507" spans="7:10" x14ac:dyDescent="0.3">
      <c r="G507" s="28"/>
      <c r="H507" s="28"/>
      <c r="I507" s="28"/>
      <c r="J507" s="31"/>
    </row>
    <row r="508" spans="7:10" x14ac:dyDescent="0.3">
      <c r="G508" s="28"/>
      <c r="H508" s="28"/>
      <c r="I508" s="28"/>
      <c r="J508" s="31"/>
    </row>
    <row r="509" spans="7:10" x14ac:dyDescent="0.3">
      <c r="G509" s="28"/>
      <c r="H509" s="28"/>
      <c r="I509" s="28"/>
      <c r="J509" s="31"/>
    </row>
    <row r="510" spans="7:10" x14ac:dyDescent="0.3">
      <c r="G510" s="28"/>
      <c r="H510" s="28"/>
      <c r="I510" s="28"/>
      <c r="J510" s="31"/>
    </row>
    <row r="511" spans="7:10" x14ac:dyDescent="0.3">
      <c r="G511" s="28"/>
      <c r="H511" s="28"/>
      <c r="I511" s="28"/>
      <c r="J511" s="31"/>
    </row>
    <row r="512" spans="7:10" x14ac:dyDescent="0.3">
      <c r="G512" s="28"/>
      <c r="H512" s="28"/>
      <c r="I512" s="28"/>
      <c r="J512" s="31"/>
    </row>
    <row r="513" spans="7:10" x14ac:dyDescent="0.3">
      <c r="G513" s="28"/>
      <c r="H513" s="28"/>
      <c r="I513" s="28"/>
      <c r="J513" s="31"/>
    </row>
    <row r="514" spans="7:10" x14ac:dyDescent="0.3">
      <c r="G514" s="28"/>
      <c r="H514" s="28"/>
      <c r="I514" s="28"/>
      <c r="J514" s="31"/>
    </row>
    <row r="515" spans="7:10" x14ac:dyDescent="0.3">
      <c r="G515" s="28"/>
      <c r="H515" s="28"/>
      <c r="I515" s="28"/>
      <c r="J515" s="31"/>
    </row>
    <row r="516" spans="7:10" x14ac:dyDescent="0.3">
      <c r="G516" s="28"/>
      <c r="H516" s="28"/>
      <c r="I516" s="28"/>
      <c r="J516" s="31"/>
    </row>
    <row r="517" spans="7:10" x14ac:dyDescent="0.3">
      <c r="G517" s="28"/>
      <c r="H517" s="28"/>
      <c r="I517" s="28"/>
      <c r="J517" s="31"/>
    </row>
    <row r="518" spans="7:10" x14ac:dyDescent="0.3">
      <c r="G518" s="28"/>
      <c r="H518" s="28"/>
      <c r="I518" s="28"/>
      <c r="J518" s="31"/>
    </row>
    <row r="519" spans="7:10" x14ac:dyDescent="0.3">
      <c r="G519" s="28"/>
      <c r="H519" s="28"/>
      <c r="I519" s="28"/>
      <c r="J519" s="31"/>
    </row>
    <row r="520" spans="7:10" x14ac:dyDescent="0.3">
      <c r="G520" s="28"/>
      <c r="H520" s="28"/>
      <c r="I520" s="28"/>
      <c r="J520" s="31"/>
    </row>
    <row r="521" spans="7:10" x14ac:dyDescent="0.3">
      <c r="G521" s="28"/>
      <c r="H521" s="28"/>
      <c r="I521" s="28"/>
      <c r="J521" s="31"/>
    </row>
    <row r="522" spans="7:10" x14ac:dyDescent="0.3">
      <c r="G522" s="28"/>
      <c r="H522" s="28"/>
      <c r="I522" s="28"/>
      <c r="J522" s="31"/>
    </row>
    <row r="523" spans="7:10" x14ac:dyDescent="0.3">
      <c r="G523" s="28"/>
      <c r="H523" s="28"/>
      <c r="I523" s="28"/>
      <c r="J523" s="31"/>
    </row>
    <row r="524" spans="7:10" x14ac:dyDescent="0.3">
      <c r="G524" s="28"/>
      <c r="H524" s="28"/>
      <c r="I524" s="28"/>
      <c r="J524" s="31"/>
    </row>
    <row r="525" spans="7:10" x14ac:dyDescent="0.3">
      <c r="G525" s="28"/>
      <c r="H525" s="28"/>
      <c r="I525" s="28"/>
      <c r="J525" s="31"/>
    </row>
    <row r="526" spans="7:10" x14ac:dyDescent="0.3">
      <c r="G526" s="28"/>
      <c r="H526" s="28"/>
      <c r="I526" s="28"/>
      <c r="J526" s="31"/>
    </row>
    <row r="527" spans="7:10" x14ac:dyDescent="0.3">
      <c r="G527" s="28"/>
      <c r="H527" s="28"/>
      <c r="I527" s="28"/>
      <c r="J527" s="31"/>
    </row>
    <row r="528" spans="7:10" x14ac:dyDescent="0.3">
      <c r="G528" s="28"/>
      <c r="H528" s="28"/>
      <c r="I528" s="28"/>
      <c r="J528" s="31"/>
    </row>
    <row r="529" spans="7:10" x14ac:dyDescent="0.3">
      <c r="G529" s="28"/>
      <c r="H529" s="28"/>
      <c r="I529" s="28"/>
      <c r="J529" s="31"/>
    </row>
    <row r="530" spans="7:10" x14ac:dyDescent="0.3">
      <c r="G530" s="28"/>
      <c r="H530" s="28"/>
      <c r="I530" s="28"/>
      <c r="J530" s="31"/>
    </row>
    <row r="531" spans="7:10" x14ac:dyDescent="0.3">
      <c r="G531" s="28"/>
      <c r="H531" s="28"/>
      <c r="I531" s="28"/>
      <c r="J531" s="31"/>
    </row>
    <row r="532" spans="7:10" x14ac:dyDescent="0.3">
      <c r="G532" s="28"/>
      <c r="H532" s="28"/>
      <c r="I532" s="28"/>
      <c r="J532" s="31"/>
    </row>
    <row r="533" spans="7:10" x14ac:dyDescent="0.3">
      <c r="G533" s="28"/>
      <c r="H533" s="28"/>
      <c r="I533" s="28"/>
      <c r="J533" s="31"/>
    </row>
    <row r="534" spans="7:10" x14ac:dyDescent="0.3">
      <c r="G534" s="28"/>
      <c r="H534" s="28"/>
      <c r="I534" s="28"/>
      <c r="J534" s="31"/>
    </row>
    <row r="535" spans="7:10" x14ac:dyDescent="0.3">
      <c r="G535" s="28"/>
      <c r="H535" s="28"/>
      <c r="I535" s="28"/>
      <c r="J535" s="31"/>
    </row>
    <row r="536" spans="7:10" x14ac:dyDescent="0.3">
      <c r="G536" s="28"/>
      <c r="H536" s="28"/>
      <c r="I536" s="28"/>
      <c r="J536" s="31"/>
    </row>
    <row r="537" spans="7:10" x14ac:dyDescent="0.3">
      <c r="G537" s="28"/>
      <c r="H537" s="28"/>
      <c r="I537" s="28"/>
      <c r="J537" s="31"/>
    </row>
    <row r="538" spans="7:10" x14ac:dyDescent="0.3">
      <c r="G538" s="28"/>
      <c r="H538" s="28"/>
      <c r="I538" s="28"/>
      <c r="J538" s="31"/>
    </row>
    <row r="539" spans="7:10" x14ac:dyDescent="0.3">
      <c r="G539" s="28"/>
      <c r="H539" s="28"/>
      <c r="I539" s="28"/>
      <c r="J539" s="31"/>
    </row>
    <row r="540" spans="7:10" x14ac:dyDescent="0.3">
      <c r="G540" s="28"/>
      <c r="H540" s="28"/>
      <c r="I540" s="28"/>
      <c r="J540" s="31"/>
    </row>
    <row r="541" spans="7:10" x14ac:dyDescent="0.3">
      <c r="G541" s="28"/>
      <c r="H541" s="28"/>
      <c r="I541" s="28"/>
      <c r="J541" s="31"/>
    </row>
    <row r="542" spans="7:10" x14ac:dyDescent="0.3">
      <c r="G542" s="28"/>
      <c r="H542" s="28"/>
      <c r="I542" s="28"/>
      <c r="J542" s="31"/>
    </row>
    <row r="543" spans="7:10" x14ac:dyDescent="0.3">
      <c r="G543" s="28"/>
      <c r="H543" s="28"/>
      <c r="I543" s="28"/>
      <c r="J543" s="31"/>
    </row>
    <row r="544" spans="7:10" x14ac:dyDescent="0.3">
      <c r="G544" s="28"/>
      <c r="H544" s="28"/>
      <c r="I544" s="28"/>
      <c r="J544" s="31"/>
    </row>
    <row r="545" spans="7:10" x14ac:dyDescent="0.3">
      <c r="G545" s="28"/>
      <c r="H545" s="28"/>
      <c r="I545" s="28"/>
      <c r="J545" s="31"/>
    </row>
    <row r="546" spans="7:10" x14ac:dyDescent="0.3">
      <c r="G546" s="28"/>
      <c r="H546" s="28"/>
      <c r="I546" s="28"/>
      <c r="J546" s="31"/>
    </row>
    <row r="547" spans="7:10" x14ac:dyDescent="0.3">
      <c r="G547" s="28"/>
      <c r="H547" s="28"/>
      <c r="I547" s="28"/>
      <c r="J547" s="31"/>
    </row>
    <row r="548" spans="7:10" x14ac:dyDescent="0.3">
      <c r="G548" s="28"/>
      <c r="H548" s="28"/>
      <c r="I548" s="28"/>
      <c r="J548" s="31"/>
    </row>
    <row r="549" spans="7:10" x14ac:dyDescent="0.3">
      <c r="G549" s="28"/>
      <c r="H549" s="28"/>
      <c r="I549" s="28"/>
      <c r="J549" s="31"/>
    </row>
    <row r="550" spans="7:10" x14ac:dyDescent="0.3">
      <c r="G550" s="28"/>
      <c r="H550" s="28"/>
      <c r="I550" s="28"/>
      <c r="J550" s="31"/>
    </row>
    <row r="551" spans="7:10" x14ac:dyDescent="0.3">
      <c r="G551" s="28"/>
      <c r="H551" s="28"/>
      <c r="I551" s="28"/>
      <c r="J551" s="31"/>
    </row>
    <row r="552" spans="7:10" x14ac:dyDescent="0.3">
      <c r="G552" s="28"/>
      <c r="H552" s="28"/>
      <c r="I552" s="28"/>
      <c r="J552" s="31"/>
    </row>
    <row r="553" spans="7:10" x14ac:dyDescent="0.3">
      <c r="G553" s="28"/>
      <c r="H553" s="28"/>
      <c r="I553" s="28"/>
      <c r="J553" s="31"/>
    </row>
    <row r="554" spans="7:10" x14ac:dyDescent="0.3">
      <c r="G554" s="28"/>
      <c r="H554" s="28"/>
      <c r="I554" s="28"/>
      <c r="J554" s="31"/>
    </row>
    <row r="555" spans="7:10" x14ac:dyDescent="0.3">
      <c r="G555" s="28"/>
      <c r="H555" s="28"/>
      <c r="I555" s="28"/>
      <c r="J555" s="31"/>
    </row>
    <row r="556" spans="7:10" x14ac:dyDescent="0.3">
      <c r="G556" s="28"/>
      <c r="H556" s="28"/>
      <c r="I556" s="28"/>
      <c r="J556" s="31"/>
    </row>
    <row r="557" spans="7:10" x14ac:dyDescent="0.3">
      <c r="G557" s="28"/>
      <c r="H557" s="28"/>
      <c r="I557" s="28"/>
      <c r="J557" s="31"/>
    </row>
    <row r="558" spans="7:10" x14ac:dyDescent="0.3">
      <c r="G558" s="28"/>
      <c r="H558" s="28"/>
      <c r="I558" s="28"/>
      <c r="J558" s="31"/>
    </row>
    <row r="559" spans="7:10" x14ac:dyDescent="0.3">
      <c r="G559" s="28"/>
      <c r="H559" s="28"/>
      <c r="I559" s="28"/>
      <c r="J559" s="31"/>
    </row>
    <row r="560" spans="7:10" x14ac:dyDescent="0.3">
      <c r="G560" s="28"/>
      <c r="H560" s="28"/>
      <c r="I560" s="28"/>
      <c r="J560" s="31"/>
    </row>
    <row r="561" spans="7:10" x14ac:dyDescent="0.3">
      <c r="G561" s="28"/>
      <c r="H561" s="28"/>
      <c r="I561" s="28"/>
      <c r="J561" s="31"/>
    </row>
    <row r="562" spans="7:10" x14ac:dyDescent="0.3">
      <c r="G562" s="28"/>
      <c r="H562" s="28"/>
      <c r="I562" s="28"/>
      <c r="J562" s="31"/>
    </row>
    <row r="563" spans="7:10" x14ac:dyDescent="0.3">
      <c r="G563" s="28"/>
      <c r="H563" s="28"/>
      <c r="I563" s="28"/>
      <c r="J563" s="31"/>
    </row>
    <row r="564" spans="7:10" x14ac:dyDescent="0.3">
      <c r="G564" s="28"/>
      <c r="H564" s="28"/>
      <c r="I564" s="28"/>
      <c r="J564" s="31"/>
    </row>
    <row r="565" spans="7:10" x14ac:dyDescent="0.3">
      <c r="G565" s="28"/>
      <c r="H565" s="28"/>
      <c r="I565" s="28"/>
      <c r="J565" s="31"/>
    </row>
    <row r="566" spans="7:10" x14ac:dyDescent="0.3">
      <c r="G566" s="28"/>
      <c r="H566" s="28"/>
      <c r="I566" s="28"/>
      <c r="J566" s="31"/>
    </row>
    <row r="567" spans="7:10" x14ac:dyDescent="0.3">
      <c r="G567" s="28"/>
      <c r="H567" s="28"/>
      <c r="I567" s="28"/>
      <c r="J567" s="31"/>
    </row>
    <row r="568" spans="7:10" x14ac:dyDescent="0.3">
      <c r="G568" s="28"/>
      <c r="H568" s="28"/>
      <c r="I568" s="28"/>
      <c r="J568" s="31"/>
    </row>
    <row r="569" spans="7:10" x14ac:dyDescent="0.3">
      <c r="G569" s="28"/>
      <c r="H569" s="28"/>
      <c r="I569" s="28"/>
      <c r="J569" s="31"/>
    </row>
    <row r="570" spans="7:10" x14ac:dyDescent="0.3">
      <c r="G570" s="28"/>
      <c r="H570" s="28"/>
      <c r="I570" s="28"/>
      <c r="J570" s="31"/>
    </row>
    <row r="571" spans="7:10" x14ac:dyDescent="0.3">
      <c r="G571" s="28"/>
      <c r="H571" s="28"/>
      <c r="I571" s="28"/>
      <c r="J571" s="31"/>
    </row>
    <row r="572" spans="7:10" x14ac:dyDescent="0.3">
      <c r="G572" s="28"/>
      <c r="H572" s="28"/>
      <c r="I572" s="28"/>
      <c r="J572" s="31"/>
    </row>
    <row r="573" spans="7:10" x14ac:dyDescent="0.3">
      <c r="G573" s="28"/>
      <c r="H573" s="28"/>
      <c r="I573" s="28"/>
      <c r="J573" s="31"/>
    </row>
    <row r="574" spans="7:10" x14ac:dyDescent="0.3">
      <c r="G574" s="28"/>
      <c r="H574" s="28"/>
      <c r="I574" s="28"/>
      <c r="J574" s="31"/>
    </row>
    <row r="575" spans="7:10" x14ac:dyDescent="0.3">
      <c r="G575" s="28"/>
      <c r="H575" s="28"/>
      <c r="I575" s="28"/>
      <c r="J575" s="31"/>
    </row>
    <row r="576" spans="7:10" x14ac:dyDescent="0.3">
      <c r="G576" s="28"/>
      <c r="H576" s="28"/>
      <c r="I576" s="28"/>
      <c r="J576" s="31"/>
    </row>
    <row r="577" spans="7:10" x14ac:dyDescent="0.3">
      <c r="G577" s="28"/>
      <c r="H577" s="28"/>
      <c r="I577" s="28"/>
      <c r="J577" s="31"/>
    </row>
    <row r="578" spans="7:10" x14ac:dyDescent="0.3">
      <c r="G578" s="28"/>
      <c r="H578" s="28"/>
      <c r="I578" s="28"/>
      <c r="J578" s="31"/>
    </row>
    <row r="579" spans="7:10" x14ac:dyDescent="0.3">
      <c r="G579" s="28"/>
      <c r="H579" s="28"/>
      <c r="I579" s="28"/>
      <c r="J579" s="31"/>
    </row>
    <row r="580" spans="7:10" x14ac:dyDescent="0.3">
      <c r="G580" s="28"/>
      <c r="H580" s="28"/>
      <c r="I580" s="28"/>
      <c r="J580" s="31"/>
    </row>
    <row r="581" spans="7:10" x14ac:dyDescent="0.3">
      <c r="G581" s="28"/>
      <c r="H581" s="28"/>
      <c r="I581" s="28"/>
      <c r="J581" s="31"/>
    </row>
    <row r="582" spans="7:10" x14ac:dyDescent="0.3">
      <c r="G582" s="28"/>
      <c r="H582" s="28"/>
      <c r="I582" s="28"/>
      <c r="J582" s="31"/>
    </row>
    <row r="583" spans="7:10" x14ac:dyDescent="0.3">
      <c r="G583" s="28"/>
      <c r="H583" s="28"/>
      <c r="I583" s="28"/>
      <c r="J583" s="31"/>
    </row>
    <row r="584" spans="7:10" x14ac:dyDescent="0.3">
      <c r="G584" s="28"/>
      <c r="H584" s="28"/>
      <c r="I584" s="28"/>
      <c r="J584" s="31"/>
    </row>
    <row r="585" spans="7:10" x14ac:dyDescent="0.3">
      <c r="G585" s="28"/>
      <c r="H585" s="28"/>
      <c r="I585" s="28"/>
      <c r="J585" s="31"/>
    </row>
    <row r="586" spans="7:10" x14ac:dyDescent="0.3">
      <c r="G586" s="28"/>
      <c r="H586" s="28"/>
      <c r="I586" s="28"/>
      <c r="J586" s="31"/>
    </row>
    <row r="587" spans="7:10" x14ac:dyDescent="0.3">
      <c r="G587" s="28"/>
      <c r="H587" s="28"/>
      <c r="I587" s="28"/>
      <c r="J587" s="31"/>
    </row>
    <row r="588" spans="7:10" x14ac:dyDescent="0.3">
      <c r="G588" s="28"/>
      <c r="H588" s="28"/>
      <c r="I588" s="28"/>
      <c r="J588" s="31"/>
    </row>
    <row r="589" spans="7:10" x14ac:dyDescent="0.3">
      <c r="G589" s="28"/>
      <c r="H589" s="28"/>
      <c r="I589" s="28"/>
      <c r="J589" s="31"/>
    </row>
    <row r="590" spans="7:10" x14ac:dyDescent="0.3">
      <c r="G590" s="28"/>
      <c r="H590" s="28"/>
      <c r="I590" s="28"/>
      <c r="J590" s="31"/>
    </row>
    <row r="591" spans="7:10" x14ac:dyDescent="0.3">
      <c r="G591" s="28"/>
      <c r="H591" s="28"/>
      <c r="I591" s="28"/>
      <c r="J591" s="31"/>
    </row>
    <row r="592" spans="7:10" x14ac:dyDescent="0.3">
      <c r="G592" s="28"/>
      <c r="H592" s="28"/>
      <c r="I592" s="28"/>
      <c r="J592" s="31"/>
    </row>
    <row r="593" spans="7:10" x14ac:dyDescent="0.3">
      <c r="G593" s="28"/>
      <c r="H593" s="28"/>
      <c r="I593" s="28"/>
      <c r="J593" s="31"/>
    </row>
    <row r="594" spans="7:10" x14ac:dyDescent="0.3">
      <c r="G594" s="28"/>
      <c r="H594" s="28"/>
      <c r="I594" s="28"/>
      <c r="J594" s="31"/>
    </row>
    <row r="595" spans="7:10" x14ac:dyDescent="0.3">
      <c r="G595" s="28"/>
      <c r="H595" s="28"/>
      <c r="I595" s="28"/>
      <c r="J595" s="31"/>
    </row>
    <row r="596" spans="7:10" x14ac:dyDescent="0.3">
      <c r="G596" s="28"/>
      <c r="H596" s="28"/>
      <c r="I596" s="28"/>
      <c r="J596" s="31"/>
    </row>
    <row r="597" spans="7:10" x14ac:dyDescent="0.3">
      <c r="G597" s="28"/>
      <c r="H597" s="28"/>
      <c r="I597" s="28"/>
      <c r="J597" s="31"/>
    </row>
    <row r="598" spans="7:10" x14ac:dyDescent="0.3">
      <c r="G598" s="28"/>
      <c r="H598" s="28"/>
      <c r="I598" s="28"/>
      <c r="J598" s="31"/>
    </row>
    <row r="599" spans="7:10" x14ac:dyDescent="0.3">
      <c r="G599" s="28"/>
      <c r="H599" s="28"/>
      <c r="I599" s="28"/>
      <c r="J599" s="31"/>
    </row>
    <row r="600" spans="7:10" x14ac:dyDescent="0.3">
      <c r="G600" s="28"/>
      <c r="H600" s="28"/>
      <c r="I600" s="28"/>
      <c r="J600" s="31"/>
    </row>
    <row r="601" spans="7:10" x14ac:dyDescent="0.3">
      <c r="G601" s="28"/>
      <c r="H601" s="28"/>
      <c r="I601" s="28"/>
      <c r="J601" s="31"/>
    </row>
    <row r="602" spans="7:10" x14ac:dyDescent="0.3">
      <c r="G602" s="28"/>
      <c r="H602" s="28"/>
      <c r="I602" s="28"/>
      <c r="J602" s="31"/>
    </row>
    <row r="603" spans="7:10" x14ac:dyDescent="0.3">
      <c r="G603" s="28"/>
      <c r="H603" s="28"/>
      <c r="I603" s="28"/>
      <c r="J603" s="31"/>
    </row>
    <row r="604" spans="7:10" x14ac:dyDescent="0.3">
      <c r="G604" s="28"/>
      <c r="H604" s="28"/>
      <c r="I604" s="28"/>
      <c r="J604" s="31"/>
    </row>
    <row r="605" spans="7:10" x14ac:dyDescent="0.3">
      <c r="G605" s="28"/>
      <c r="H605" s="28"/>
      <c r="I605" s="28"/>
      <c r="J605" s="31"/>
    </row>
    <row r="606" spans="7:10" x14ac:dyDescent="0.3">
      <c r="G606" s="28"/>
      <c r="H606" s="28"/>
      <c r="I606" s="28"/>
      <c r="J606" s="31"/>
    </row>
    <row r="607" spans="7:10" x14ac:dyDescent="0.3">
      <c r="G607" s="28"/>
      <c r="H607" s="28"/>
      <c r="I607" s="28"/>
      <c r="J607" s="31"/>
    </row>
    <row r="608" spans="7:10" x14ac:dyDescent="0.3">
      <c r="G608" s="28"/>
      <c r="H608" s="28"/>
      <c r="I608" s="28"/>
      <c r="J608" s="31"/>
    </row>
    <row r="609" spans="7:10" x14ac:dyDescent="0.3">
      <c r="G609" s="28"/>
      <c r="H609" s="28"/>
      <c r="I609" s="28"/>
      <c r="J609" s="31"/>
    </row>
    <row r="610" spans="7:10" x14ac:dyDescent="0.3">
      <c r="G610" s="28"/>
      <c r="H610" s="28"/>
      <c r="I610" s="28"/>
      <c r="J610" s="31"/>
    </row>
    <row r="611" spans="7:10" x14ac:dyDescent="0.3">
      <c r="G611" s="28"/>
      <c r="H611" s="28"/>
      <c r="I611" s="28"/>
      <c r="J611" s="31"/>
    </row>
    <row r="612" spans="7:10" x14ac:dyDescent="0.3">
      <c r="G612" s="28"/>
      <c r="H612" s="28"/>
      <c r="I612" s="28"/>
      <c r="J612" s="31"/>
    </row>
    <row r="613" spans="7:10" x14ac:dyDescent="0.3">
      <c r="G613" s="28"/>
      <c r="H613" s="28"/>
      <c r="I613" s="28"/>
      <c r="J613" s="31"/>
    </row>
    <row r="614" spans="7:10" x14ac:dyDescent="0.3">
      <c r="G614" s="28"/>
      <c r="H614" s="28"/>
      <c r="I614" s="28"/>
      <c r="J614" s="31"/>
    </row>
    <row r="615" spans="7:10" x14ac:dyDescent="0.3">
      <c r="G615" s="28"/>
      <c r="H615" s="28"/>
      <c r="I615" s="28"/>
      <c r="J615" s="31"/>
    </row>
    <row r="616" spans="7:10" x14ac:dyDescent="0.3">
      <c r="G616" s="28"/>
      <c r="H616" s="28"/>
      <c r="I616" s="28"/>
      <c r="J616" s="31"/>
    </row>
    <row r="617" spans="7:10" x14ac:dyDescent="0.3">
      <c r="G617" s="28"/>
      <c r="H617" s="28"/>
      <c r="I617" s="28"/>
      <c r="J617" s="31"/>
    </row>
    <row r="618" spans="7:10" x14ac:dyDescent="0.3">
      <c r="G618" s="28"/>
      <c r="H618" s="28"/>
      <c r="I618" s="28"/>
      <c r="J618" s="31"/>
    </row>
    <row r="619" spans="7:10" x14ac:dyDescent="0.3">
      <c r="G619" s="28"/>
      <c r="H619" s="28"/>
      <c r="I619" s="28"/>
      <c r="J619" s="31"/>
    </row>
    <row r="620" spans="7:10" x14ac:dyDescent="0.3">
      <c r="G620" s="28"/>
      <c r="H620" s="28"/>
      <c r="I620" s="28"/>
      <c r="J620" s="31"/>
    </row>
    <row r="621" spans="7:10" x14ac:dyDescent="0.3">
      <c r="G621" s="28"/>
      <c r="H621" s="28"/>
      <c r="I621" s="28"/>
      <c r="J621" s="31"/>
    </row>
    <row r="622" spans="7:10" x14ac:dyDescent="0.3">
      <c r="G622" s="28"/>
      <c r="H622" s="28"/>
      <c r="I622" s="28"/>
      <c r="J622" s="31"/>
    </row>
    <row r="623" spans="7:10" x14ac:dyDescent="0.3">
      <c r="G623" s="28"/>
      <c r="H623" s="28"/>
      <c r="I623" s="28"/>
      <c r="J623" s="31"/>
    </row>
    <row r="624" spans="7:10" x14ac:dyDescent="0.3">
      <c r="G624" s="28"/>
      <c r="H624" s="28"/>
      <c r="I624" s="28"/>
      <c r="J624" s="31"/>
    </row>
    <row r="625" spans="7:10" x14ac:dyDescent="0.3">
      <c r="G625" s="28"/>
      <c r="H625" s="28"/>
      <c r="I625" s="28"/>
      <c r="J625" s="31"/>
    </row>
    <row r="626" spans="7:10" x14ac:dyDescent="0.3">
      <c r="G626" s="28"/>
      <c r="H626" s="28"/>
      <c r="I626" s="28"/>
      <c r="J626" s="31"/>
    </row>
    <row r="627" spans="7:10" x14ac:dyDescent="0.3">
      <c r="G627" s="28"/>
      <c r="H627" s="28"/>
      <c r="I627" s="28"/>
      <c r="J627" s="31"/>
    </row>
    <row r="628" spans="7:10" x14ac:dyDescent="0.3">
      <c r="G628" s="28"/>
      <c r="H628" s="28"/>
      <c r="I628" s="28"/>
      <c r="J628" s="31"/>
    </row>
    <row r="629" spans="7:10" x14ac:dyDescent="0.3">
      <c r="G629" s="28"/>
      <c r="H629" s="28"/>
      <c r="I629" s="28"/>
      <c r="J629" s="31"/>
    </row>
    <row r="630" spans="7:10" x14ac:dyDescent="0.3">
      <c r="G630" s="28"/>
      <c r="H630" s="28"/>
      <c r="I630" s="28"/>
      <c r="J630" s="31"/>
    </row>
    <row r="631" spans="7:10" x14ac:dyDescent="0.3">
      <c r="G631" s="28"/>
      <c r="H631" s="28"/>
      <c r="I631" s="28"/>
      <c r="J631" s="31"/>
    </row>
    <row r="632" spans="7:10" x14ac:dyDescent="0.3">
      <c r="G632" s="28"/>
      <c r="H632" s="28"/>
      <c r="I632" s="28"/>
      <c r="J632" s="31"/>
    </row>
    <row r="633" spans="7:10" x14ac:dyDescent="0.3">
      <c r="G633" s="28"/>
      <c r="H633" s="28"/>
      <c r="I633" s="28"/>
      <c r="J633" s="31"/>
    </row>
    <row r="634" spans="7:10" x14ac:dyDescent="0.3">
      <c r="G634" s="28"/>
      <c r="H634" s="28"/>
      <c r="I634" s="28"/>
      <c r="J634" s="31"/>
    </row>
    <row r="635" spans="7:10" x14ac:dyDescent="0.3">
      <c r="G635" s="28"/>
      <c r="H635" s="28"/>
      <c r="I635" s="28"/>
      <c r="J635" s="31"/>
    </row>
    <row r="636" spans="7:10" x14ac:dyDescent="0.3">
      <c r="G636" s="28"/>
      <c r="H636" s="28"/>
      <c r="I636" s="28"/>
      <c r="J636" s="31"/>
    </row>
    <row r="637" spans="7:10" x14ac:dyDescent="0.3">
      <c r="G637" s="28"/>
      <c r="H637" s="28"/>
      <c r="I637" s="28"/>
      <c r="J637" s="31"/>
    </row>
    <row r="638" spans="7:10" x14ac:dyDescent="0.3">
      <c r="G638" s="28"/>
      <c r="H638" s="28"/>
      <c r="I638" s="28"/>
      <c r="J638" s="31"/>
    </row>
    <row r="639" spans="7:10" x14ac:dyDescent="0.3">
      <c r="G639" s="28"/>
      <c r="H639" s="28"/>
      <c r="I639" s="28"/>
      <c r="J639" s="31"/>
    </row>
    <row r="640" spans="7:10" x14ac:dyDescent="0.3">
      <c r="G640" s="28"/>
      <c r="H640" s="28"/>
      <c r="I640" s="28"/>
      <c r="J640" s="31"/>
    </row>
    <row r="641" spans="7:10" x14ac:dyDescent="0.3">
      <c r="G641" s="28"/>
      <c r="H641" s="28"/>
      <c r="I641" s="28"/>
      <c r="J641" s="31"/>
    </row>
    <row r="642" spans="7:10" x14ac:dyDescent="0.3">
      <c r="G642" s="28"/>
      <c r="H642" s="28"/>
      <c r="I642" s="28"/>
      <c r="J642" s="31"/>
    </row>
    <row r="643" spans="7:10" x14ac:dyDescent="0.3">
      <c r="G643" s="28"/>
      <c r="H643" s="28"/>
      <c r="I643" s="28"/>
      <c r="J643" s="31"/>
    </row>
    <row r="644" spans="7:10" x14ac:dyDescent="0.3">
      <c r="G644" s="28"/>
      <c r="H644" s="28"/>
      <c r="I644" s="28"/>
      <c r="J644" s="31"/>
    </row>
    <row r="645" spans="7:10" x14ac:dyDescent="0.3">
      <c r="G645" s="28"/>
      <c r="H645" s="28"/>
      <c r="I645" s="28"/>
      <c r="J645" s="31"/>
    </row>
    <row r="646" spans="7:10" x14ac:dyDescent="0.3">
      <c r="G646" s="28"/>
      <c r="H646" s="28"/>
      <c r="I646" s="28"/>
      <c r="J646" s="31"/>
    </row>
    <row r="647" spans="7:10" x14ac:dyDescent="0.3">
      <c r="G647" s="28"/>
      <c r="H647" s="28"/>
      <c r="I647" s="28"/>
      <c r="J647" s="31"/>
    </row>
    <row r="648" spans="7:10" x14ac:dyDescent="0.3">
      <c r="G648" s="28"/>
      <c r="H648" s="28"/>
      <c r="I648" s="28"/>
      <c r="J648" s="31"/>
    </row>
    <row r="649" spans="7:10" x14ac:dyDescent="0.3">
      <c r="G649" s="28"/>
      <c r="H649" s="28"/>
      <c r="I649" s="28"/>
      <c r="J649" s="31"/>
    </row>
    <row r="650" spans="7:10" x14ac:dyDescent="0.3">
      <c r="G650" s="28"/>
      <c r="H650" s="28"/>
      <c r="I650" s="28"/>
      <c r="J650" s="31"/>
    </row>
    <row r="651" spans="7:10" x14ac:dyDescent="0.3">
      <c r="G651" s="28"/>
      <c r="H651" s="28"/>
      <c r="I651" s="28"/>
      <c r="J651" s="31"/>
    </row>
    <row r="652" spans="7:10" x14ac:dyDescent="0.3">
      <c r="G652" s="28"/>
      <c r="H652" s="28"/>
      <c r="I652" s="28"/>
      <c r="J652" s="31"/>
    </row>
    <row r="653" spans="7:10" x14ac:dyDescent="0.3">
      <c r="G653" s="28"/>
      <c r="H653" s="28"/>
      <c r="I653" s="28"/>
      <c r="J653" s="31"/>
    </row>
    <row r="654" spans="7:10" x14ac:dyDescent="0.3">
      <c r="G654" s="28"/>
      <c r="H654" s="28"/>
      <c r="I654" s="28"/>
      <c r="J654" s="31"/>
    </row>
    <row r="655" spans="7:10" x14ac:dyDescent="0.3">
      <c r="G655" s="28"/>
      <c r="H655" s="28"/>
      <c r="I655" s="28"/>
      <c r="J655" s="31"/>
    </row>
    <row r="656" spans="7:10" x14ac:dyDescent="0.3">
      <c r="G656" s="28"/>
      <c r="H656" s="28"/>
      <c r="I656" s="28"/>
      <c r="J656" s="31"/>
    </row>
    <row r="657" spans="7:10" x14ac:dyDescent="0.3">
      <c r="G657" s="28"/>
      <c r="H657" s="28"/>
      <c r="I657" s="28"/>
      <c r="J657" s="31"/>
    </row>
    <row r="658" spans="7:10" x14ac:dyDescent="0.3">
      <c r="G658" s="28"/>
      <c r="H658" s="28"/>
      <c r="I658" s="28"/>
      <c r="J658" s="31"/>
    </row>
    <row r="659" spans="7:10" x14ac:dyDescent="0.3">
      <c r="G659" s="28"/>
      <c r="H659" s="28"/>
      <c r="I659" s="28"/>
      <c r="J659" s="31"/>
    </row>
    <row r="660" spans="7:10" x14ac:dyDescent="0.3">
      <c r="G660" s="28"/>
      <c r="H660" s="28"/>
      <c r="I660" s="28"/>
      <c r="J660" s="31"/>
    </row>
    <row r="661" spans="7:10" x14ac:dyDescent="0.3">
      <c r="G661" s="28"/>
      <c r="H661" s="28"/>
      <c r="I661" s="28"/>
      <c r="J661" s="31"/>
    </row>
    <row r="662" spans="7:10" x14ac:dyDescent="0.3">
      <c r="G662" s="28"/>
      <c r="H662" s="28"/>
      <c r="I662" s="28"/>
      <c r="J662" s="31"/>
    </row>
    <row r="663" spans="7:10" x14ac:dyDescent="0.3">
      <c r="G663" s="28"/>
      <c r="H663" s="28"/>
      <c r="I663" s="28"/>
      <c r="J663" s="31"/>
    </row>
    <row r="664" spans="7:10" x14ac:dyDescent="0.3">
      <c r="G664" s="28"/>
      <c r="H664" s="28"/>
      <c r="I664" s="28"/>
      <c r="J664" s="31"/>
    </row>
    <row r="665" spans="7:10" x14ac:dyDescent="0.3">
      <c r="G665" s="28"/>
      <c r="H665" s="28"/>
      <c r="I665" s="28"/>
      <c r="J665" s="31"/>
    </row>
    <row r="666" spans="7:10" x14ac:dyDescent="0.3">
      <c r="G666" s="28"/>
      <c r="H666" s="28"/>
      <c r="I666" s="28"/>
      <c r="J666" s="31"/>
    </row>
    <row r="667" spans="7:10" x14ac:dyDescent="0.3">
      <c r="G667" s="28"/>
      <c r="H667" s="28"/>
      <c r="I667" s="28"/>
      <c r="J667" s="31"/>
    </row>
    <row r="668" spans="7:10" x14ac:dyDescent="0.3">
      <c r="G668" s="28"/>
      <c r="H668" s="28"/>
      <c r="I668" s="28"/>
      <c r="J668" s="31"/>
    </row>
    <row r="669" spans="7:10" x14ac:dyDescent="0.3">
      <c r="G669" s="28"/>
      <c r="H669" s="28"/>
      <c r="I669" s="28"/>
      <c r="J669" s="31"/>
    </row>
    <row r="670" spans="7:10" x14ac:dyDescent="0.3">
      <c r="G670" s="28"/>
      <c r="H670" s="28"/>
      <c r="I670" s="28"/>
      <c r="J670" s="31"/>
    </row>
    <row r="671" spans="7:10" x14ac:dyDescent="0.3">
      <c r="G671" s="28"/>
      <c r="H671" s="28"/>
      <c r="I671" s="28"/>
      <c r="J671" s="31"/>
    </row>
    <row r="672" spans="7:10" x14ac:dyDescent="0.3">
      <c r="G672" s="28"/>
      <c r="H672" s="28"/>
      <c r="I672" s="28"/>
      <c r="J672" s="31"/>
    </row>
    <row r="673" spans="7:10" x14ac:dyDescent="0.3">
      <c r="G673" s="28"/>
      <c r="H673" s="28"/>
      <c r="I673" s="28"/>
      <c r="J673" s="31"/>
    </row>
    <row r="674" spans="7:10" x14ac:dyDescent="0.3">
      <c r="G674" s="28"/>
      <c r="H674" s="28"/>
      <c r="I674" s="28"/>
      <c r="J674" s="31"/>
    </row>
    <row r="675" spans="7:10" x14ac:dyDescent="0.3">
      <c r="G675" s="28"/>
      <c r="H675" s="28"/>
      <c r="I675" s="28"/>
      <c r="J675" s="31"/>
    </row>
    <row r="676" spans="7:10" x14ac:dyDescent="0.3">
      <c r="G676" s="28"/>
      <c r="H676" s="28"/>
      <c r="I676" s="28"/>
      <c r="J676" s="31"/>
    </row>
    <row r="677" spans="7:10" x14ac:dyDescent="0.3">
      <c r="G677" s="28"/>
      <c r="H677" s="28"/>
      <c r="I677" s="28"/>
      <c r="J677" s="31"/>
    </row>
    <row r="678" spans="7:10" x14ac:dyDescent="0.3">
      <c r="G678" s="28"/>
      <c r="H678" s="28"/>
      <c r="I678" s="28"/>
      <c r="J678" s="31"/>
    </row>
    <row r="679" spans="7:10" x14ac:dyDescent="0.3">
      <c r="G679" s="28"/>
      <c r="H679" s="28"/>
      <c r="I679" s="28"/>
      <c r="J679" s="31"/>
    </row>
    <row r="680" spans="7:10" x14ac:dyDescent="0.3">
      <c r="G680" s="28"/>
      <c r="H680" s="28"/>
      <c r="I680" s="28"/>
      <c r="J680" s="31"/>
    </row>
    <row r="681" spans="7:10" x14ac:dyDescent="0.3">
      <c r="G681" s="28"/>
      <c r="H681" s="28"/>
      <c r="I681" s="28"/>
      <c r="J681" s="31"/>
    </row>
    <row r="682" spans="7:10" x14ac:dyDescent="0.3">
      <c r="G682" s="28"/>
      <c r="H682" s="28"/>
      <c r="I682" s="28"/>
      <c r="J682" s="31"/>
    </row>
    <row r="683" spans="7:10" x14ac:dyDescent="0.3">
      <c r="G683" s="28"/>
      <c r="H683" s="28"/>
      <c r="I683" s="28"/>
      <c r="J683" s="31"/>
    </row>
    <row r="684" spans="7:10" x14ac:dyDescent="0.3">
      <c r="G684" s="28"/>
      <c r="H684" s="28"/>
      <c r="I684" s="28"/>
      <c r="J684" s="31"/>
    </row>
    <row r="685" spans="7:10" x14ac:dyDescent="0.3">
      <c r="G685" s="28"/>
      <c r="H685" s="28"/>
      <c r="I685" s="28"/>
      <c r="J685" s="31"/>
    </row>
    <row r="686" spans="7:10" x14ac:dyDescent="0.3">
      <c r="G686" s="28"/>
      <c r="H686" s="28"/>
      <c r="I686" s="28"/>
      <c r="J686" s="31"/>
    </row>
    <row r="687" spans="7:10" x14ac:dyDescent="0.3">
      <c r="G687" s="28"/>
      <c r="H687" s="28"/>
      <c r="I687" s="28"/>
      <c r="J687" s="31"/>
    </row>
    <row r="688" spans="7:10" x14ac:dyDescent="0.3">
      <c r="G688" s="28"/>
      <c r="H688" s="28"/>
      <c r="I688" s="28"/>
      <c r="J688" s="31"/>
    </row>
    <row r="689" spans="7:10" x14ac:dyDescent="0.3">
      <c r="G689" s="28"/>
      <c r="H689" s="28"/>
      <c r="I689" s="28"/>
      <c r="J689" s="31"/>
    </row>
    <row r="690" spans="7:10" x14ac:dyDescent="0.3">
      <c r="G690" s="28"/>
      <c r="H690" s="28"/>
      <c r="I690" s="28"/>
      <c r="J690" s="31"/>
    </row>
    <row r="691" spans="7:10" x14ac:dyDescent="0.3">
      <c r="G691" s="28"/>
      <c r="H691" s="28"/>
      <c r="I691" s="28"/>
      <c r="J691" s="31"/>
    </row>
    <row r="692" spans="7:10" x14ac:dyDescent="0.3">
      <c r="G692" s="28"/>
      <c r="H692" s="28"/>
      <c r="I692" s="28"/>
      <c r="J692" s="31"/>
    </row>
    <row r="693" spans="7:10" x14ac:dyDescent="0.3">
      <c r="G693" s="28"/>
      <c r="H693" s="28"/>
      <c r="I693" s="28"/>
      <c r="J693" s="31"/>
    </row>
    <row r="694" spans="7:10" x14ac:dyDescent="0.3">
      <c r="G694" s="28"/>
      <c r="H694" s="28"/>
      <c r="I694" s="28"/>
      <c r="J694" s="31"/>
    </row>
    <row r="695" spans="7:10" x14ac:dyDescent="0.3">
      <c r="G695" s="28"/>
      <c r="H695" s="28"/>
      <c r="I695" s="28"/>
      <c r="J695" s="31"/>
    </row>
    <row r="696" spans="7:10" x14ac:dyDescent="0.3">
      <c r="G696" s="28"/>
      <c r="H696" s="28"/>
      <c r="I696" s="28"/>
      <c r="J696" s="31"/>
    </row>
    <row r="697" spans="7:10" x14ac:dyDescent="0.3">
      <c r="G697" s="28"/>
      <c r="H697" s="28"/>
      <c r="I697" s="28"/>
      <c r="J697" s="31"/>
    </row>
    <row r="698" spans="7:10" x14ac:dyDescent="0.3">
      <c r="G698" s="28"/>
      <c r="H698" s="28"/>
      <c r="I698" s="28"/>
      <c r="J698" s="31"/>
    </row>
    <row r="699" spans="7:10" x14ac:dyDescent="0.3">
      <c r="G699" s="28"/>
      <c r="H699" s="28"/>
      <c r="I699" s="28"/>
      <c r="J699" s="31"/>
    </row>
    <row r="700" spans="7:10" x14ac:dyDescent="0.3">
      <c r="G700" s="28"/>
      <c r="H700" s="28"/>
      <c r="I700" s="28"/>
      <c r="J700" s="31"/>
    </row>
    <row r="701" spans="7:10" x14ac:dyDescent="0.3">
      <c r="G701" s="28"/>
      <c r="H701" s="28"/>
      <c r="I701" s="28"/>
      <c r="J701" s="31"/>
    </row>
    <row r="702" spans="7:10" x14ac:dyDescent="0.3">
      <c r="G702" s="28"/>
      <c r="H702" s="28"/>
      <c r="I702" s="28"/>
      <c r="J702" s="31"/>
    </row>
    <row r="703" spans="7:10" x14ac:dyDescent="0.3">
      <c r="G703" s="28"/>
      <c r="H703" s="28"/>
      <c r="I703" s="28"/>
      <c r="J703" s="31"/>
    </row>
    <row r="704" spans="7:10" x14ac:dyDescent="0.3">
      <c r="G704" s="28"/>
      <c r="H704" s="28"/>
      <c r="I704" s="28"/>
      <c r="J704" s="31"/>
    </row>
    <row r="705" spans="7:10" x14ac:dyDescent="0.3">
      <c r="G705" s="28"/>
      <c r="H705" s="28"/>
      <c r="I705" s="28"/>
      <c r="J705" s="31"/>
    </row>
    <row r="706" spans="7:10" x14ac:dyDescent="0.3">
      <c r="G706" s="28"/>
      <c r="H706" s="28"/>
      <c r="I706" s="28"/>
      <c r="J706" s="31"/>
    </row>
    <row r="707" spans="7:10" x14ac:dyDescent="0.3">
      <c r="G707" s="28"/>
      <c r="H707" s="28"/>
      <c r="I707" s="28"/>
      <c r="J707" s="31"/>
    </row>
    <row r="708" spans="7:10" x14ac:dyDescent="0.3">
      <c r="G708" s="28"/>
      <c r="H708" s="28"/>
      <c r="I708" s="28"/>
      <c r="J708" s="31"/>
    </row>
    <row r="709" spans="7:10" x14ac:dyDescent="0.3">
      <c r="G709" s="28"/>
      <c r="H709" s="28"/>
      <c r="I709" s="28"/>
      <c r="J709" s="31"/>
    </row>
    <row r="710" spans="7:10" x14ac:dyDescent="0.3">
      <c r="G710" s="28"/>
      <c r="H710" s="28"/>
      <c r="I710" s="28"/>
      <c r="J710" s="31"/>
    </row>
    <row r="711" spans="7:10" x14ac:dyDescent="0.3">
      <c r="G711" s="28"/>
      <c r="H711" s="28"/>
      <c r="I711" s="28"/>
      <c r="J711" s="31"/>
    </row>
    <row r="712" spans="7:10" x14ac:dyDescent="0.3">
      <c r="G712" s="28"/>
      <c r="H712" s="28"/>
      <c r="I712" s="28"/>
      <c r="J712" s="31"/>
    </row>
    <row r="713" spans="7:10" x14ac:dyDescent="0.3">
      <c r="G713" s="28"/>
      <c r="H713" s="28"/>
      <c r="I713" s="28"/>
      <c r="J713" s="31"/>
    </row>
    <row r="714" spans="7:10" x14ac:dyDescent="0.3">
      <c r="G714" s="28"/>
      <c r="H714" s="28"/>
      <c r="I714" s="28"/>
      <c r="J714" s="31"/>
    </row>
    <row r="715" spans="7:10" x14ac:dyDescent="0.3">
      <c r="G715" s="28"/>
      <c r="H715" s="28"/>
      <c r="I715" s="28"/>
      <c r="J715" s="31"/>
    </row>
    <row r="716" spans="7:10" x14ac:dyDescent="0.3">
      <c r="G716" s="28"/>
      <c r="H716" s="28"/>
      <c r="I716" s="28"/>
      <c r="J716" s="31"/>
    </row>
    <row r="717" spans="7:10" x14ac:dyDescent="0.3">
      <c r="G717" s="28"/>
      <c r="H717" s="28"/>
      <c r="I717" s="28"/>
      <c r="J717" s="31"/>
    </row>
    <row r="718" spans="7:10" x14ac:dyDescent="0.3">
      <c r="G718" s="28"/>
      <c r="H718" s="28"/>
      <c r="I718" s="28"/>
      <c r="J718" s="31"/>
    </row>
    <row r="719" spans="7:10" x14ac:dyDescent="0.3">
      <c r="G719" s="28"/>
      <c r="H719" s="28"/>
      <c r="I719" s="28"/>
      <c r="J719" s="31"/>
    </row>
    <row r="720" spans="7:10" x14ac:dyDescent="0.3">
      <c r="G720" s="28"/>
      <c r="H720" s="28"/>
      <c r="I720" s="28"/>
      <c r="J720" s="31"/>
    </row>
    <row r="721" spans="7:10" x14ac:dyDescent="0.3">
      <c r="G721" s="28"/>
      <c r="H721" s="28"/>
      <c r="I721" s="28"/>
      <c r="J721" s="31"/>
    </row>
    <row r="722" spans="7:10" x14ac:dyDescent="0.3">
      <c r="G722" s="28"/>
      <c r="H722" s="28"/>
      <c r="I722" s="28"/>
      <c r="J722" s="31"/>
    </row>
    <row r="723" spans="7:10" x14ac:dyDescent="0.3">
      <c r="G723" s="28"/>
      <c r="H723" s="28"/>
      <c r="I723" s="28"/>
      <c r="J723" s="31"/>
    </row>
    <row r="724" spans="7:10" x14ac:dyDescent="0.3">
      <c r="G724" s="28"/>
      <c r="H724" s="28"/>
      <c r="I724" s="28"/>
      <c r="J724" s="31"/>
    </row>
    <row r="725" spans="7:10" x14ac:dyDescent="0.3">
      <c r="G725" s="28"/>
      <c r="H725" s="28"/>
      <c r="I725" s="28"/>
      <c r="J725" s="31"/>
    </row>
    <row r="726" spans="7:10" x14ac:dyDescent="0.3">
      <c r="G726" s="28"/>
      <c r="H726" s="28"/>
      <c r="I726" s="28"/>
      <c r="J726" s="31"/>
    </row>
    <row r="727" spans="7:10" x14ac:dyDescent="0.3">
      <c r="G727" s="28"/>
      <c r="H727" s="28"/>
      <c r="I727" s="28"/>
      <c r="J727" s="31"/>
    </row>
    <row r="728" spans="7:10" x14ac:dyDescent="0.3">
      <c r="G728" s="28"/>
      <c r="H728" s="28"/>
      <c r="I728" s="28"/>
      <c r="J728" s="31"/>
    </row>
    <row r="729" spans="7:10" x14ac:dyDescent="0.3">
      <c r="G729" s="28"/>
      <c r="H729" s="28"/>
      <c r="I729" s="28"/>
      <c r="J729" s="31"/>
    </row>
    <row r="730" spans="7:10" x14ac:dyDescent="0.3">
      <c r="G730" s="28"/>
      <c r="H730" s="28"/>
      <c r="I730" s="28"/>
      <c r="J730" s="31"/>
    </row>
    <row r="731" spans="7:10" x14ac:dyDescent="0.3">
      <c r="G731" s="28"/>
      <c r="H731" s="28"/>
      <c r="I731" s="28"/>
      <c r="J731" s="31"/>
    </row>
    <row r="732" spans="7:10" x14ac:dyDescent="0.3">
      <c r="G732" s="28"/>
      <c r="H732" s="28"/>
      <c r="I732" s="28"/>
      <c r="J732" s="31"/>
    </row>
    <row r="733" spans="7:10" x14ac:dyDescent="0.3">
      <c r="G733" s="28"/>
      <c r="H733" s="28"/>
      <c r="I733" s="28"/>
      <c r="J733" s="31"/>
    </row>
    <row r="734" spans="7:10" x14ac:dyDescent="0.3">
      <c r="G734" s="28"/>
      <c r="H734" s="28"/>
      <c r="I734" s="28"/>
      <c r="J734" s="31"/>
    </row>
    <row r="735" spans="7:10" x14ac:dyDescent="0.3">
      <c r="G735" s="28"/>
      <c r="H735" s="28"/>
      <c r="I735" s="28"/>
      <c r="J735" s="31"/>
    </row>
    <row r="736" spans="7:10" x14ac:dyDescent="0.3">
      <c r="G736" s="28"/>
      <c r="H736" s="28"/>
      <c r="I736" s="28"/>
      <c r="J736" s="31"/>
    </row>
    <row r="737" spans="7:10" x14ac:dyDescent="0.3">
      <c r="G737" s="28"/>
      <c r="H737" s="28"/>
      <c r="I737" s="28"/>
      <c r="J737" s="31"/>
    </row>
    <row r="738" spans="7:10" x14ac:dyDescent="0.3">
      <c r="G738" s="28"/>
      <c r="H738" s="28"/>
      <c r="I738" s="28"/>
      <c r="J738" s="31"/>
    </row>
    <row r="739" spans="7:10" x14ac:dyDescent="0.3">
      <c r="G739" s="28"/>
      <c r="H739" s="28"/>
      <c r="I739" s="28"/>
      <c r="J739" s="31"/>
    </row>
    <row r="740" spans="7:10" x14ac:dyDescent="0.3">
      <c r="G740" s="28"/>
      <c r="H740" s="28"/>
      <c r="I740" s="28"/>
      <c r="J740" s="31"/>
    </row>
    <row r="741" spans="7:10" x14ac:dyDescent="0.3">
      <c r="G741" s="28"/>
      <c r="H741" s="28"/>
      <c r="I741" s="28"/>
      <c r="J741" s="31"/>
    </row>
    <row r="742" spans="7:10" x14ac:dyDescent="0.3">
      <c r="G742" s="28"/>
      <c r="H742" s="28"/>
      <c r="I742" s="28"/>
      <c r="J742" s="31"/>
    </row>
    <row r="743" spans="7:10" x14ac:dyDescent="0.3">
      <c r="G743" s="28"/>
      <c r="H743" s="28"/>
      <c r="I743" s="28"/>
      <c r="J743" s="31"/>
    </row>
    <row r="744" spans="7:10" x14ac:dyDescent="0.3">
      <c r="G744" s="28"/>
      <c r="H744" s="28"/>
      <c r="I744" s="28"/>
      <c r="J744" s="31"/>
    </row>
    <row r="745" spans="7:10" x14ac:dyDescent="0.3">
      <c r="G745" s="28"/>
      <c r="H745" s="28"/>
      <c r="I745" s="28"/>
      <c r="J745" s="31"/>
    </row>
    <row r="746" spans="7:10" x14ac:dyDescent="0.3">
      <c r="G746" s="28"/>
      <c r="H746" s="28"/>
      <c r="I746" s="28"/>
      <c r="J746" s="31"/>
    </row>
    <row r="747" spans="7:10" x14ac:dyDescent="0.3">
      <c r="G747" s="28"/>
      <c r="H747" s="28"/>
      <c r="I747" s="28"/>
      <c r="J747" s="31"/>
    </row>
    <row r="748" spans="7:10" x14ac:dyDescent="0.3">
      <c r="G748" s="28"/>
      <c r="H748" s="28"/>
      <c r="I748" s="28"/>
      <c r="J748" s="31"/>
    </row>
    <row r="749" spans="7:10" x14ac:dyDescent="0.3">
      <c r="G749" s="28"/>
      <c r="H749" s="28"/>
      <c r="I749" s="28"/>
      <c r="J749" s="31"/>
    </row>
    <row r="750" spans="7:10" x14ac:dyDescent="0.3">
      <c r="G750" s="28"/>
      <c r="H750" s="28"/>
      <c r="I750" s="28"/>
      <c r="J750" s="31"/>
    </row>
    <row r="751" spans="7:10" x14ac:dyDescent="0.3">
      <c r="G751" s="28"/>
      <c r="H751" s="28"/>
      <c r="I751" s="28"/>
      <c r="J751" s="31"/>
    </row>
    <row r="752" spans="7:10" x14ac:dyDescent="0.3">
      <c r="G752" s="28"/>
      <c r="H752" s="28"/>
      <c r="I752" s="28"/>
      <c r="J752" s="31"/>
    </row>
    <row r="753" spans="7:10" x14ac:dyDescent="0.3">
      <c r="G753" s="28"/>
      <c r="H753" s="28"/>
      <c r="I753" s="28"/>
      <c r="J753" s="31"/>
    </row>
    <row r="754" spans="7:10" x14ac:dyDescent="0.3">
      <c r="G754" s="28"/>
      <c r="H754" s="28"/>
      <c r="I754" s="28"/>
      <c r="J754" s="31"/>
    </row>
    <row r="755" spans="7:10" x14ac:dyDescent="0.3">
      <c r="G755" s="28"/>
      <c r="H755" s="28"/>
      <c r="I755" s="28"/>
      <c r="J755" s="31"/>
    </row>
    <row r="756" spans="7:10" x14ac:dyDescent="0.3">
      <c r="G756" s="28"/>
      <c r="H756" s="28"/>
      <c r="I756" s="28"/>
      <c r="J756" s="31"/>
    </row>
    <row r="757" spans="7:10" x14ac:dyDescent="0.3">
      <c r="G757" s="28"/>
      <c r="H757" s="28"/>
      <c r="I757" s="28"/>
      <c r="J757" s="31"/>
    </row>
    <row r="758" spans="7:10" x14ac:dyDescent="0.3">
      <c r="G758" s="28"/>
      <c r="H758" s="28"/>
      <c r="I758" s="28"/>
      <c r="J758" s="31"/>
    </row>
    <row r="759" spans="7:10" x14ac:dyDescent="0.3">
      <c r="G759" s="28"/>
      <c r="H759" s="28"/>
      <c r="I759" s="28"/>
      <c r="J759" s="31"/>
    </row>
    <row r="760" spans="7:10" x14ac:dyDescent="0.3">
      <c r="G760" s="28"/>
      <c r="H760" s="28"/>
      <c r="I760" s="28"/>
      <c r="J760" s="31"/>
    </row>
    <row r="761" spans="7:10" x14ac:dyDescent="0.3">
      <c r="G761" s="28"/>
      <c r="H761" s="28"/>
      <c r="I761" s="28"/>
      <c r="J761" s="31"/>
    </row>
    <row r="762" spans="7:10" x14ac:dyDescent="0.3">
      <c r="G762" s="28"/>
      <c r="H762" s="28"/>
      <c r="I762" s="28"/>
      <c r="J762" s="31"/>
    </row>
    <row r="763" spans="7:10" x14ac:dyDescent="0.3">
      <c r="G763" s="28"/>
      <c r="H763" s="28"/>
      <c r="I763" s="28"/>
      <c r="J763" s="31"/>
    </row>
    <row r="764" spans="7:10" x14ac:dyDescent="0.3">
      <c r="G764" s="28"/>
      <c r="H764" s="28"/>
      <c r="I764" s="28"/>
      <c r="J764" s="31"/>
    </row>
    <row r="765" spans="7:10" x14ac:dyDescent="0.3">
      <c r="G765" s="28"/>
      <c r="H765" s="28"/>
      <c r="I765" s="28"/>
      <c r="J765" s="31"/>
    </row>
    <row r="766" spans="7:10" x14ac:dyDescent="0.3">
      <c r="G766" s="28"/>
      <c r="H766" s="28"/>
      <c r="I766" s="28"/>
      <c r="J766" s="31"/>
    </row>
    <row r="767" spans="7:10" x14ac:dyDescent="0.3">
      <c r="G767" s="28"/>
      <c r="H767" s="28"/>
      <c r="I767" s="28"/>
      <c r="J767" s="31"/>
    </row>
    <row r="768" spans="7:10" x14ac:dyDescent="0.3">
      <c r="G768" s="28"/>
      <c r="H768" s="28"/>
      <c r="I768" s="28"/>
      <c r="J768" s="31"/>
    </row>
    <row r="769" spans="7:10" x14ac:dyDescent="0.3">
      <c r="G769" s="28"/>
      <c r="H769" s="28"/>
      <c r="I769" s="28"/>
      <c r="J769" s="31"/>
    </row>
    <row r="770" spans="7:10" x14ac:dyDescent="0.3">
      <c r="G770" s="28"/>
      <c r="H770" s="28"/>
      <c r="I770" s="28"/>
      <c r="J770" s="31"/>
    </row>
    <row r="771" spans="7:10" x14ac:dyDescent="0.3">
      <c r="G771" s="28"/>
      <c r="H771" s="28"/>
      <c r="I771" s="28"/>
      <c r="J771" s="31"/>
    </row>
    <row r="772" spans="7:10" x14ac:dyDescent="0.3">
      <c r="G772" s="28"/>
      <c r="H772" s="28"/>
      <c r="I772" s="28"/>
      <c r="J772" s="31"/>
    </row>
    <row r="773" spans="7:10" x14ac:dyDescent="0.3">
      <c r="G773" s="28"/>
      <c r="H773" s="28"/>
      <c r="I773" s="28"/>
      <c r="J773" s="31"/>
    </row>
    <row r="774" spans="7:10" x14ac:dyDescent="0.3">
      <c r="G774" s="28"/>
      <c r="H774" s="28"/>
      <c r="I774" s="28"/>
      <c r="J774" s="31"/>
    </row>
    <row r="775" spans="7:10" x14ac:dyDescent="0.3">
      <c r="G775" s="28"/>
      <c r="H775" s="28"/>
      <c r="I775" s="28"/>
      <c r="J775" s="31"/>
    </row>
    <row r="776" spans="7:10" x14ac:dyDescent="0.3">
      <c r="G776" s="28"/>
      <c r="H776" s="28"/>
      <c r="I776" s="28"/>
      <c r="J776" s="31"/>
    </row>
    <row r="777" spans="7:10" x14ac:dyDescent="0.3">
      <c r="G777" s="28"/>
      <c r="H777" s="28"/>
      <c r="I777" s="28"/>
      <c r="J777" s="31"/>
    </row>
    <row r="778" spans="7:10" x14ac:dyDescent="0.3">
      <c r="G778" s="28"/>
      <c r="H778" s="28"/>
      <c r="I778" s="28"/>
      <c r="J778" s="31"/>
    </row>
    <row r="779" spans="7:10" x14ac:dyDescent="0.3">
      <c r="G779" s="28"/>
      <c r="H779" s="28"/>
      <c r="I779" s="28"/>
      <c r="J779" s="31"/>
    </row>
    <row r="780" spans="7:10" x14ac:dyDescent="0.3">
      <c r="G780" s="28"/>
      <c r="H780" s="28"/>
      <c r="I780" s="28"/>
      <c r="J780" s="31"/>
    </row>
    <row r="781" spans="7:10" x14ac:dyDescent="0.3">
      <c r="G781" s="28"/>
      <c r="H781" s="28"/>
      <c r="I781" s="28"/>
      <c r="J781" s="31"/>
    </row>
    <row r="782" spans="7:10" x14ac:dyDescent="0.3">
      <c r="G782" s="28"/>
      <c r="H782" s="28"/>
      <c r="I782" s="28"/>
      <c r="J782" s="31"/>
    </row>
    <row r="783" spans="7:10" x14ac:dyDescent="0.3">
      <c r="G783" s="28"/>
      <c r="H783" s="28"/>
      <c r="I783" s="28"/>
      <c r="J783" s="31"/>
    </row>
    <row r="784" spans="7:10" x14ac:dyDescent="0.3">
      <c r="G784" s="28"/>
      <c r="H784" s="28"/>
      <c r="I784" s="28"/>
      <c r="J784" s="31"/>
    </row>
    <row r="785" spans="7:10" x14ac:dyDescent="0.3">
      <c r="G785" s="28"/>
      <c r="H785" s="28"/>
      <c r="I785" s="28"/>
      <c r="J785" s="31"/>
    </row>
    <row r="786" spans="7:10" x14ac:dyDescent="0.3">
      <c r="G786" s="28"/>
      <c r="H786" s="28"/>
      <c r="I786" s="28"/>
      <c r="J786" s="31"/>
    </row>
    <row r="787" spans="7:10" x14ac:dyDescent="0.3">
      <c r="G787" s="28"/>
      <c r="H787" s="28"/>
      <c r="I787" s="28"/>
      <c r="J787" s="31"/>
    </row>
    <row r="788" spans="7:10" x14ac:dyDescent="0.3">
      <c r="G788" s="28"/>
      <c r="H788" s="28"/>
      <c r="I788" s="28"/>
      <c r="J788" s="31"/>
    </row>
    <row r="789" spans="7:10" x14ac:dyDescent="0.3">
      <c r="G789" s="28"/>
      <c r="H789" s="28"/>
      <c r="I789" s="28"/>
      <c r="J789" s="31"/>
    </row>
    <row r="790" spans="7:10" x14ac:dyDescent="0.3">
      <c r="G790" s="28"/>
      <c r="H790" s="28"/>
      <c r="I790" s="28"/>
      <c r="J790" s="31"/>
    </row>
    <row r="791" spans="7:10" x14ac:dyDescent="0.3">
      <c r="G791" s="28"/>
      <c r="H791" s="28"/>
      <c r="I791" s="28"/>
      <c r="J791" s="31"/>
    </row>
    <row r="792" spans="7:10" x14ac:dyDescent="0.3">
      <c r="G792" s="28"/>
      <c r="H792" s="28"/>
      <c r="I792" s="28"/>
      <c r="J792" s="31"/>
    </row>
    <row r="793" spans="7:10" x14ac:dyDescent="0.3">
      <c r="G793" s="28"/>
      <c r="H793" s="28"/>
      <c r="I793" s="28"/>
      <c r="J793" s="31"/>
    </row>
    <row r="794" spans="7:10" x14ac:dyDescent="0.3">
      <c r="G794" s="28"/>
      <c r="H794" s="28"/>
      <c r="I794" s="28"/>
      <c r="J794" s="31"/>
    </row>
    <row r="795" spans="7:10" x14ac:dyDescent="0.3">
      <c r="G795" s="28"/>
      <c r="H795" s="28"/>
      <c r="I795" s="28"/>
      <c r="J795" s="31"/>
    </row>
    <row r="796" spans="7:10" x14ac:dyDescent="0.3">
      <c r="G796" s="28"/>
      <c r="H796" s="28"/>
      <c r="I796" s="28"/>
      <c r="J796" s="31"/>
    </row>
    <row r="797" spans="7:10" x14ac:dyDescent="0.3">
      <c r="G797" s="28"/>
      <c r="H797" s="28"/>
      <c r="I797" s="28"/>
      <c r="J797" s="31"/>
    </row>
    <row r="798" spans="7:10" x14ac:dyDescent="0.3">
      <c r="G798" s="28"/>
      <c r="H798" s="28"/>
      <c r="I798" s="28"/>
      <c r="J798" s="31"/>
    </row>
    <row r="799" spans="7:10" x14ac:dyDescent="0.3">
      <c r="G799" s="28"/>
      <c r="H799" s="28"/>
      <c r="I799" s="28"/>
      <c r="J799" s="31"/>
    </row>
    <row r="800" spans="7:10" x14ac:dyDescent="0.3">
      <c r="G800" s="28"/>
      <c r="H800" s="28"/>
      <c r="I800" s="28"/>
      <c r="J800" s="31"/>
    </row>
    <row r="801" spans="7:10" x14ac:dyDescent="0.3">
      <c r="G801" s="28"/>
      <c r="H801" s="28"/>
      <c r="I801" s="28"/>
      <c r="J801" s="31"/>
    </row>
    <row r="802" spans="7:10" x14ac:dyDescent="0.3">
      <c r="G802" s="28"/>
      <c r="H802" s="28"/>
      <c r="I802" s="28"/>
      <c r="J802" s="31"/>
    </row>
    <row r="803" spans="7:10" x14ac:dyDescent="0.3">
      <c r="G803" s="28"/>
      <c r="H803" s="28"/>
      <c r="I803" s="28"/>
      <c r="J803" s="31"/>
    </row>
    <row r="804" spans="7:10" x14ac:dyDescent="0.3">
      <c r="G804" s="28"/>
      <c r="H804" s="28"/>
      <c r="I804" s="28"/>
      <c r="J804" s="31"/>
    </row>
    <row r="805" spans="7:10" x14ac:dyDescent="0.3">
      <c r="G805" s="28"/>
      <c r="H805" s="28"/>
      <c r="I805" s="28"/>
      <c r="J805" s="31"/>
    </row>
    <row r="806" spans="7:10" x14ac:dyDescent="0.3">
      <c r="G806" s="28"/>
      <c r="H806" s="28"/>
      <c r="I806" s="28"/>
      <c r="J806" s="31"/>
    </row>
    <row r="807" spans="7:10" x14ac:dyDescent="0.3">
      <c r="G807" s="28"/>
      <c r="H807" s="28"/>
      <c r="I807" s="28"/>
      <c r="J807" s="31"/>
    </row>
    <row r="808" spans="7:10" x14ac:dyDescent="0.3">
      <c r="G808" s="28"/>
      <c r="H808" s="28"/>
      <c r="I808" s="28"/>
      <c r="J808" s="31"/>
    </row>
    <row r="809" spans="7:10" x14ac:dyDescent="0.3">
      <c r="G809" s="28"/>
      <c r="H809" s="28"/>
      <c r="I809" s="28"/>
      <c r="J809" s="31"/>
    </row>
    <row r="810" spans="7:10" x14ac:dyDescent="0.3">
      <c r="G810" s="28"/>
      <c r="H810" s="28"/>
      <c r="I810" s="28"/>
      <c r="J810" s="31"/>
    </row>
    <row r="811" spans="7:10" x14ac:dyDescent="0.3">
      <c r="G811" s="28"/>
      <c r="H811" s="28"/>
      <c r="I811" s="28"/>
      <c r="J811" s="31"/>
    </row>
    <row r="812" spans="7:10" x14ac:dyDescent="0.3">
      <c r="G812" s="28"/>
      <c r="H812" s="28"/>
      <c r="I812" s="28"/>
      <c r="J812" s="31"/>
    </row>
    <row r="813" spans="7:10" x14ac:dyDescent="0.3">
      <c r="G813" s="28"/>
      <c r="H813" s="28"/>
      <c r="I813" s="28"/>
      <c r="J813" s="31"/>
    </row>
    <row r="814" spans="7:10" x14ac:dyDescent="0.3">
      <c r="G814" s="28"/>
      <c r="H814" s="28"/>
      <c r="I814" s="28"/>
      <c r="J814" s="31"/>
    </row>
    <row r="815" spans="7:10" x14ac:dyDescent="0.3">
      <c r="G815" s="28"/>
      <c r="H815" s="28"/>
      <c r="I815" s="28"/>
      <c r="J815" s="31"/>
    </row>
    <row r="816" spans="7:10" x14ac:dyDescent="0.3">
      <c r="G816" s="28"/>
      <c r="H816" s="28"/>
      <c r="I816" s="28"/>
      <c r="J816" s="31"/>
    </row>
    <row r="817" spans="7:10" x14ac:dyDescent="0.3">
      <c r="G817" s="28"/>
      <c r="H817" s="28"/>
      <c r="I817" s="28"/>
      <c r="J817" s="31"/>
    </row>
    <row r="818" spans="7:10" x14ac:dyDescent="0.3">
      <c r="G818" s="28"/>
      <c r="H818" s="28"/>
      <c r="I818" s="28"/>
      <c r="J818" s="31"/>
    </row>
    <row r="819" spans="7:10" x14ac:dyDescent="0.3">
      <c r="G819" s="28"/>
      <c r="H819" s="28"/>
      <c r="I819" s="28"/>
      <c r="J819" s="31"/>
    </row>
    <row r="820" spans="7:10" x14ac:dyDescent="0.3">
      <c r="G820" s="28"/>
      <c r="H820" s="28"/>
      <c r="I820" s="28"/>
      <c r="J820" s="31"/>
    </row>
    <row r="821" spans="7:10" x14ac:dyDescent="0.3">
      <c r="G821" s="28"/>
      <c r="H821" s="28"/>
      <c r="I821" s="28"/>
      <c r="J821" s="31"/>
    </row>
    <row r="822" spans="7:10" x14ac:dyDescent="0.3">
      <c r="G822" s="28"/>
      <c r="H822" s="28"/>
      <c r="I822" s="28"/>
      <c r="J822" s="31"/>
    </row>
    <row r="823" spans="7:10" x14ac:dyDescent="0.3">
      <c r="G823" s="28"/>
      <c r="H823" s="28"/>
      <c r="I823" s="28"/>
      <c r="J823" s="31"/>
    </row>
    <row r="824" spans="7:10" x14ac:dyDescent="0.3">
      <c r="G824" s="28"/>
      <c r="H824" s="28"/>
      <c r="I824" s="28"/>
      <c r="J824" s="31"/>
    </row>
    <row r="825" spans="7:10" x14ac:dyDescent="0.3">
      <c r="G825" s="28"/>
      <c r="H825" s="28"/>
      <c r="I825" s="28"/>
      <c r="J825" s="31"/>
    </row>
    <row r="826" spans="7:10" x14ac:dyDescent="0.3">
      <c r="G826" s="28"/>
      <c r="H826" s="28"/>
      <c r="I826" s="28"/>
      <c r="J826" s="31"/>
    </row>
    <row r="827" spans="7:10" x14ac:dyDescent="0.3">
      <c r="G827" s="28"/>
      <c r="H827" s="28"/>
      <c r="I827" s="28"/>
      <c r="J827" s="31"/>
    </row>
    <row r="828" spans="7:10" x14ac:dyDescent="0.3">
      <c r="G828" s="28"/>
      <c r="H828" s="28"/>
      <c r="I828" s="28"/>
      <c r="J828" s="31"/>
    </row>
    <row r="829" spans="7:10" x14ac:dyDescent="0.3">
      <c r="G829" s="28"/>
      <c r="H829" s="28"/>
      <c r="I829" s="28"/>
      <c r="J829" s="31"/>
    </row>
    <row r="830" spans="7:10" x14ac:dyDescent="0.3">
      <c r="G830" s="28"/>
      <c r="H830" s="28"/>
      <c r="I830" s="28"/>
      <c r="J830" s="31"/>
    </row>
    <row r="831" spans="7:10" x14ac:dyDescent="0.3">
      <c r="G831" s="28"/>
      <c r="H831" s="28"/>
      <c r="I831" s="28"/>
      <c r="J831" s="31"/>
    </row>
    <row r="832" spans="7:10" x14ac:dyDescent="0.3">
      <c r="G832" s="28"/>
      <c r="H832" s="28"/>
      <c r="I832" s="28"/>
      <c r="J832" s="31"/>
    </row>
    <row r="833" spans="7:10" x14ac:dyDescent="0.3">
      <c r="G833" s="28"/>
      <c r="H833" s="28"/>
      <c r="I833" s="28"/>
      <c r="J833" s="31"/>
    </row>
    <row r="834" spans="7:10" x14ac:dyDescent="0.3">
      <c r="G834" s="28"/>
      <c r="H834" s="28"/>
      <c r="I834" s="28"/>
      <c r="J834" s="31"/>
    </row>
    <row r="835" spans="7:10" x14ac:dyDescent="0.3">
      <c r="G835" s="28"/>
      <c r="H835" s="28"/>
      <c r="I835" s="28"/>
      <c r="J835" s="31"/>
    </row>
    <row r="836" spans="7:10" x14ac:dyDescent="0.3">
      <c r="G836" s="28"/>
      <c r="H836" s="28"/>
      <c r="I836" s="28"/>
      <c r="J836" s="31"/>
    </row>
    <row r="837" spans="7:10" x14ac:dyDescent="0.3">
      <c r="G837" s="28"/>
      <c r="H837" s="28"/>
      <c r="I837" s="28"/>
      <c r="J837" s="31"/>
    </row>
    <row r="838" spans="7:10" x14ac:dyDescent="0.3">
      <c r="G838" s="28"/>
      <c r="H838" s="28"/>
      <c r="I838" s="28"/>
      <c r="J838" s="31"/>
    </row>
    <row r="839" spans="7:10" x14ac:dyDescent="0.3">
      <c r="G839" s="28"/>
      <c r="H839" s="28"/>
      <c r="I839" s="28"/>
      <c r="J839" s="31"/>
    </row>
    <row r="840" spans="7:10" x14ac:dyDescent="0.3">
      <c r="G840" s="28"/>
      <c r="H840" s="28"/>
      <c r="I840" s="28"/>
      <c r="J840" s="31"/>
    </row>
    <row r="841" spans="7:10" x14ac:dyDescent="0.3">
      <c r="G841" s="28"/>
      <c r="H841" s="28"/>
      <c r="I841" s="28"/>
      <c r="J841" s="31"/>
    </row>
    <row r="842" spans="7:10" x14ac:dyDescent="0.3">
      <c r="G842" s="28"/>
      <c r="H842" s="28"/>
      <c r="I842" s="28"/>
      <c r="J842" s="31"/>
    </row>
    <row r="843" spans="7:10" x14ac:dyDescent="0.3">
      <c r="G843" s="28"/>
      <c r="H843" s="28"/>
      <c r="I843" s="28"/>
      <c r="J843" s="31"/>
    </row>
    <row r="844" spans="7:10" x14ac:dyDescent="0.3">
      <c r="G844" s="28"/>
      <c r="H844" s="28"/>
      <c r="I844" s="28"/>
      <c r="J844" s="31"/>
    </row>
    <row r="845" spans="7:10" x14ac:dyDescent="0.3">
      <c r="G845" s="28"/>
      <c r="H845" s="28"/>
      <c r="I845" s="28"/>
      <c r="J845" s="31"/>
    </row>
    <row r="846" spans="7:10" x14ac:dyDescent="0.3">
      <c r="G846" s="28"/>
      <c r="H846" s="28"/>
      <c r="I846" s="28"/>
      <c r="J846" s="31"/>
    </row>
    <row r="847" spans="7:10" x14ac:dyDescent="0.3">
      <c r="G847" s="28"/>
      <c r="H847" s="28"/>
      <c r="I847" s="28"/>
      <c r="J847" s="31"/>
    </row>
    <row r="848" spans="7:10" x14ac:dyDescent="0.3">
      <c r="G848" s="28"/>
      <c r="H848" s="28"/>
      <c r="I848" s="28"/>
      <c r="J848" s="31"/>
    </row>
    <row r="849" spans="7:10" x14ac:dyDescent="0.3">
      <c r="G849" s="28"/>
      <c r="H849" s="28"/>
      <c r="I849" s="28"/>
      <c r="J849" s="31"/>
    </row>
    <row r="850" spans="7:10" x14ac:dyDescent="0.3">
      <c r="G850" s="28"/>
      <c r="H850" s="28"/>
      <c r="I850" s="28"/>
      <c r="J850" s="31"/>
    </row>
    <row r="851" spans="7:10" x14ac:dyDescent="0.3">
      <c r="G851" s="28"/>
      <c r="H851" s="28"/>
      <c r="I851" s="28"/>
      <c r="J851" s="31"/>
    </row>
    <row r="852" spans="7:10" x14ac:dyDescent="0.3">
      <c r="G852" s="28"/>
      <c r="H852" s="28"/>
      <c r="I852" s="28"/>
      <c r="J852" s="31"/>
    </row>
    <row r="853" spans="7:10" x14ac:dyDescent="0.3">
      <c r="G853" s="28"/>
      <c r="H853" s="28"/>
      <c r="I853" s="28"/>
      <c r="J853" s="31"/>
    </row>
    <row r="854" spans="7:10" x14ac:dyDescent="0.3">
      <c r="G854" s="28"/>
      <c r="H854" s="28"/>
      <c r="I854" s="28"/>
      <c r="J854" s="31"/>
    </row>
    <row r="855" spans="7:10" x14ac:dyDescent="0.3">
      <c r="G855" s="28"/>
      <c r="H855" s="28"/>
      <c r="I855" s="28"/>
      <c r="J855" s="31"/>
    </row>
    <row r="856" spans="7:10" x14ac:dyDescent="0.3">
      <c r="G856" s="28"/>
      <c r="H856" s="28"/>
      <c r="I856" s="28"/>
      <c r="J856" s="31"/>
    </row>
    <row r="857" spans="7:10" x14ac:dyDescent="0.3">
      <c r="G857" s="28"/>
      <c r="H857" s="28"/>
      <c r="I857" s="28"/>
      <c r="J857" s="31"/>
    </row>
    <row r="858" spans="7:10" x14ac:dyDescent="0.3">
      <c r="G858" s="28"/>
      <c r="H858" s="28"/>
      <c r="I858" s="28"/>
      <c r="J858" s="31"/>
    </row>
    <row r="859" spans="7:10" x14ac:dyDescent="0.3">
      <c r="G859" s="28"/>
      <c r="H859" s="28"/>
      <c r="I859" s="28"/>
      <c r="J859" s="31"/>
    </row>
    <row r="860" spans="7:10" x14ac:dyDescent="0.3">
      <c r="G860" s="28"/>
      <c r="H860" s="28"/>
      <c r="I860" s="28"/>
      <c r="J860" s="31"/>
    </row>
    <row r="861" spans="7:10" x14ac:dyDescent="0.3">
      <c r="G861" s="28"/>
      <c r="H861" s="28"/>
      <c r="I861" s="28"/>
      <c r="J861" s="31"/>
    </row>
    <row r="862" spans="7:10" x14ac:dyDescent="0.3">
      <c r="G862" s="28"/>
      <c r="H862" s="28"/>
      <c r="I862" s="28"/>
      <c r="J862" s="31"/>
    </row>
    <row r="863" spans="7:10" x14ac:dyDescent="0.3">
      <c r="G863" s="28"/>
      <c r="H863" s="28"/>
      <c r="I863" s="28"/>
      <c r="J863" s="31"/>
    </row>
    <row r="864" spans="7:10" x14ac:dyDescent="0.3">
      <c r="G864" s="28"/>
      <c r="H864" s="28"/>
      <c r="I864" s="28"/>
      <c r="J864" s="31"/>
    </row>
    <row r="865" spans="7:10" x14ac:dyDescent="0.3">
      <c r="G865" s="28"/>
      <c r="H865" s="28"/>
      <c r="I865" s="28"/>
      <c r="J865" s="31"/>
    </row>
    <row r="866" spans="7:10" x14ac:dyDescent="0.3">
      <c r="G866" s="28"/>
      <c r="H866" s="28"/>
      <c r="I866" s="28"/>
      <c r="J866" s="31"/>
    </row>
    <row r="867" spans="7:10" x14ac:dyDescent="0.3">
      <c r="G867" s="28"/>
      <c r="H867" s="28"/>
      <c r="I867" s="28"/>
      <c r="J867" s="31"/>
    </row>
    <row r="868" spans="7:10" x14ac:dyDescent="0.3">
      <c r="G868" s="28"/>
      <c r="H868" s="28"/>
      <c r="I868" s="28"/>
      <c r="J868" s="31"/>
    </row>
    <row r="869" spans="7:10" x14ac:dyDescent="0.3">
      <c r="G869" s="28"/>
      <c r="H869" s="28"/>
      <c r="I869" s="28"/>
      <c r="J869" s="31"/>
    </row>
    <row r="870" spans="7:10" x14ac:dyDescent="0.3">
      <c r="G870" s="28"/>
      <c r="H870" s="28"/>
      <c r="I870" s="28"/>
      <c r="J870" s="31"/>
    </row>
    <row r="871" spans="7:10" x14ac:dyDescent="0.3">
      <c r="G871" s="28"/>
      <c r="H871" s="28"/>
      <c r="I871" s="28"/>
      <c r="J871" s="31"/>
    </row>
    <row r="872" spans="7:10" x14ac:dyDescent="0.3">
      <c r="G872" s="28"/>
      <c r="H872" s="28"/>
      <c r="I872" s="28"/>
      <c r="J872" s="31"/>
    </row>
    <row r="873" spans="7:10" x14ac:dyDescent="0.3">
      <c r="G873" s="28"/>
      <c r="H873" s="28"/>
      <c r="I873" s="28"/>
      <c r="J873" s="31"/>
    </row>
    <row r="874" spans="7:10" x14ac:dyDescent="0.3">
      <c r="G874" s="28"/>
      <c r="H874" s="28"/>
      <c r="I874" s="28"/>
      <c r="J874" s="31"/>
    </row>
    <row r="875" spans="7:10" x14ac:dyDescent="0.3">
      <c r="G875" s="28"/>
      <c r="H875" s="28"/>
      <c r="I875" s="28"/>
      <c r="J875" s="31"/>
    </row>
    <row r="876" spans="7:10" x14ac:dyDescent="0.3">
      <c r="G876" s="28"/>
      <c r="H876" s="28"/>
      <c r="I876" s="28"/>
      <c r="J876" s="31"/>
    </row>
    <row r="877" spans="7:10" x14ac:dyDescent="0.3">
      <c r="G877" s="28"/>
      <c r="H877" s="28"/>
      <c r="I877" s="28"/>
      <c r="J877" s="31"/>
    </row>
    <row r="878" spans="7:10" x14ac:dyDescent="0.3">
      <c r="G878" s="28"/>
      <c r="H878" s="28"/>
      <c r="I878" s="28"/>
      <c r="J878" s="31"/>
    </row>
    <row r="879" spans="7:10" x14ac:dyDescent="0.3">
      <c r="G879" s="28"/>
      <c r="H879" s="28"/>
      <c r="I879" s="28"/>
      <c r="J879" s="31"/>
    </row>
    <row r="880" spans="7:10" x14ac:dyDescent="0.3">
      <c r="G880" s="28"/>
      <c r="H880" s="28"/>
      <c r="I880" s="28"/>
      <c r="J880" s="31"/>
    </row>
    <row r="881" spans="7:10" x14ac:dyDescent="0.3">
      <c r="G881" s="28"/>
      <c r="H881" s="28"/>
      <c r="I881" s="28"/>
      <c r="J881" s="31"/>
    </row>
    <row r="882" spans="7:10" x14ac:dyDescent="0.3">
      <c r="G882" s="28"/>
      <c r="H882" s="28"/>
      <c r="I882" s="28"/>
      <c r="J882" s="31"/>
    </row>
    <row r="883" spans="7:10" x14ac:dyDescent="0.3">
      <c r="G883" s="28"/>
      <c r="H883" s="28"/>
      <c r="I883" s="28"/>
      <c r="J883" s="31"/>
    </row>
    <row r="884" spans="7:10" x14ac:dyDescent="0.3">
      <c r="G884" s="28"/>
      <c r="H884" s="28"/>
      <c r="I884" s="28"/>
      <c r="J884" s="31"/>
    </row>
    <row r="885" spans="7:10" x14ac:dyDescent="0.3">
      <c r="G885" s="28"/>
      <c r="H885" s="28"/>
      <c r="I885" s="28"/>
      <c r="J885" s="31"/>
    </row>
    <row r="886" spans="7:10" x14ac:dyDescent="0.3">
      <c r="G886" s="28"/>
      <c r="H886" s="28"/>
      <c r="I886" s="28"/>
      <c r="J886" s="31"/>
    </row>
    <row r="887" spans="7:10" x14ac:dyDescent="0.3">
      <c r="G887" s="28"/>
      <c r="H887" s="28"/>
      <c r="I887" s="28"/>
      <c r="J887" s="31"/>
    </row>
    <row r="888" spans="7:10" x14ac:dyDescent="0.3">
      <c r="G888" s="28"/>
      <c r="H888" s="28"/>
      <c r="I888" s="28"/>
      <c r="J888" s="31"/>
    </row>
    <row r="889" spans="7:10" x14ac:dyDescent="0.3">
      <c r="G889" s="28"/>
      <c r="H889" s="28"/>
      <c r="I889" s="28"/>
      <c r="J889" s="31"/>
    </row>
    <row r="890" spans="7:10" x14ac:dyDescent="0.3">
      <c r="G890" s="28"/>
      <c r="H890" s="28"/>
      <c r="I890" s="28"/>
      <c r="J890" s="31"/>
    </row>
    <row r="891" spans="7:10" x14ac:dyDescent="0.3">
      <c r="G891" s="28"/>
      <c r="H891" s="28"/>
      <c r="I891" s="28"/>
      <c r="J891" s="31"/>
    </row>
    <row r="892" spans="7:10" x14ac:dyDescent="0.3">
      <c r="G892" s="28"/>
      <c r="H892" s="28"/>
      <c r="I892" s="28"/>
      <c r="J892" s="31"/>
    </row>
    <row r="893" spans="7:10" x14ac:dyDescent="0.3">
      <c r="G893" s="28"/>
      <c r="H893" s="28"/>
      <c r="I893" s="28"/>
      <c r="J893" s="31"/>
    </row>
    <row r="894" spans="7:10" x14ac:dyDescent="0.3">
      <c r="G894" s="28"/>
      <c r="H894" s="28"/>
      <c r="I894" s="28"/>
      <c r="J894" s="31"/>
    </row>
    <row r="895" spans="7:10" x14ac:dyDescent="0.3">
      <c r="G895" s="28"/>
      <c r="H895" s="28"/>
      <c r="I895" s="28"/>
      <c r="J895" s="31"/>
    </row>
    <row r="896" spans="7:10" x14ac:dyDescent="0.3">
      <c r="G896" s="28"/>
      <c r="H896" s="28"/>
      <c r="I896" s="28"/>
      <c r="J896" s="31"/>
    </row>
    <row r="897" spans="7:10" x14ac:dyDescent="0.3">
      <c r="G897" s="28"/>
      <c r="H897" s="28"/>
      <c r="I897" s="28"/>
      <c r="J897" s="31"/>
    </row>
    <row r="898" spans="7:10" x14ac:dyDescent="0.3">
      <c r="G898" s="28"/>
      <c r="H898" s="28"/>
      <c r="I898" s="28"/>
      <c r="J898" s="31"/>
    </row>
    <row r="899" spans="7:10" x14ac:dyDescent="0.3">
      <c r="G899" s="28"/>
      <c r="H899" s="28"/>
      <c r="I899" s="28"/>
      <c r="J899" s="31"/>
    </row>
    <row r="900" spans="7:10" x14ac:dyDescent="0.3">
      <c r="G900" s="28"/>
      <c r="H900" s="28"/>
      <c r="I900" s="28"/>
      <c r="J900" s="31"/>
    </row>
    <row r="901" spans="7:10" x14ac:dyDescent="0.3">
      <c r="G901" s="28"/>
      <c r="H901" s="28"/>
      <c r="I901" s="28"/>
      <c r="J901" s="31"/>
    </row>
    <row r="902" spans="7:10" x14ac:dyDescent="0.3">
      <c r="G902" s="28"/>
      <c r="H902" s="28"/>
      <c r="I902" s="28"/>
      <c r="J902" s="31"/>
    </row>
    <row r="903" spans="7:10" x14ac:dyDescent="0.3">
      <c r="G903" s="28"/>
      <c r="H903" s="28"/>
      <c r="I903" s="28"/>
      <c r="J903" s="31"/>
    </row>
    <row r="904" spans="7:10" x14ac:dyDescent="0.3">
      <c r="G904" s="28"/>
      <c r="H904" s="28"/>
      <c r="I904" s="28"/>
      <c r="J904" s="31"/>
    </row>
    <row r="905" spans="7:10" x14ac:dyDescent="0.3">
      <c r="G905" s="28"/>
      <c r="H905" s="28"/>
      <c r="I905" s="28"/>
      <c r="J905" s="31"/>
    </row>
    <row r="906" spans="7:10" x14ac:dyDescent="0.3">
      <c r="G906" s="28"/>
      <c r="H906" s="28"/>
      <c r="I906" s="28"/>
      <c r="J906" s="31"/>
    </row>
    <row r="907" spans="7:10" x14ac:dyDescent="0.3">
      <c r="G907" s="28"/>
      <c r="H907" s="28"/>
      <c r="I907" s="28"/>
      <c r="J907" s="31"/>
    </row>
    <row r="908" spans="7:10" x14ac:dyDescent="0.3">
      <c r="G908" s="28"/>
      <c r="H908" s="28"/>
      <c r="I908" s="28"/>
      <c r="J908" s="31"/>
    </row>
    <row r="909" spans="7:10" x14ac:dyDescent="0.3">
      <c r="G909" s="28"/>
      <c r="H909" s="28"/>
      <c r="I909" s="28"/>
      <c r="J909" s="31"/>
    </row>
    <row r="910" spans="7:10" x14ac:dyDescent="0.3">
      <c r="G910" s="28"/>
      <c r="H910" s="28"/>
      <c r="I910" s="28"/>
      <c r="J910" s="31"/>
    </row>
    <row r="911" spans="7:10" x14ac:dyDescent="0.3">
      <c r="G911" s="28"/>
      <c r="H911" s="28"/>
      <c r="I911" s="28"/>
      <c r="J911" s="31"/>
    </row>
    <row r="912" spans="7:10" x14ac:dyDescent="0.3">
      <c r="G912" s="28"/>
      <c r="H912" s="28"/>
      <c r="I912" s="28"/>
      <c r="J912" s="31"/>
    </row>
    <row r="913" spans="7:10" x14ac:dyDescent="0.3">
      <c r="G913" s="28"/>
      <c r="H913" s="28"/>
      <c r="I913" s="28"/>
      <c r="J913" s="31"/>
    </row>
    <row r="914" spans="7:10" x14ac:dyDescent="0.3">
      <c r="G914" s="28"/>
      <c r="H914" s="28"/>
      <c r="I914" s="28"/>
      <c r="J914" s="31"/>
    </row>
    <row r="915" spans="7:10" x14ac:dyDescent="0.3">
      <c r="G915" s="28"/>
      <c r="H915" s="28"/>
      <c r="I915" s="28"/>
      <c r="J915" s="31"/>
    </row>
    <row r="916" spans="7:10" x14ac:dyDescent="0.3">
      <c r="G916" s="28"/>
      <c r="H916" s="28"/>
      <c r="I916" s="28"/>
      <c r="J916" s="31"/>
    </row>
    <row r="917" spans="7:10" x14ac:dyDescent="0.3">
      <c r="G917" s="28"/>
      <c r="H917" s="28"/>
      <c r="I917" s="28"/>
      <c r="J917" s="31"/>
    </row>
    <row r="918" spans="7:10" x14ac:dyDescent="0.3">
      <c r="G918" s="28"/>
      <c r="H918" s="28"/>
      <c r="I918" s="28"/>
      <c r="J918" s="31"/>
    </row>
    <row r="919" spans="7:10" x14ac:dyDescent="0.3">
      <c r="G919" s="28"/>
      <c r="H919" s="28"/>
      <c r="I919" s="28"/>
      <c r="J919" s="31"/>
    </row>
    <row r="920" spans="7:10" x14ac:dyDescent="0.3">
      <c r="G920" s="28"/>
      <c r="H920" s="28"/>
      <c r="I920" s="28"/>
      <c r="J920" s="31"/>
    </row>
    <row r="921" spans="7:10" x14ac:dyDescent="0.3">
      <c r="G921" s="28"/>
      <c r="H921" s="28"/>
      <c r="I921" s="28"/>
      <c r="J921" s="31"/>
    </row>
    <row r="922" spans="7:10" x14ac:dyDescent="0.3">
      <c r="G922" s="28"/>
      <c r="H922" s="28"/>
      <c r="I922" s="28"/>
      <c r="J922" s="31"/>
    </row>
    <row r="923" spans="7:10" x14ac:dyDescent="0.3">
      <c r="G923" s="28"/>
      <c r="H923" s="28"/>
      <c r="I923" s="28"/>
      <c r="J923" s="31"/>
    </row>
    <row r="924" spans="7:10" x14ac:dyDescent="0.3">
      <c r="G924" s="28"/>
      <c r="H924" s="28"/>
      <c r="I924" s="28"/>
      <c r="J924" s="31"/>
    </row>
    <row r="925" spans="7:10" x14ac:dyDescent="0.3">
      <c r="G925" s="28"/>
      <c r="H925" s="28"/>
      <c r="I925" s="28"/>
      <c r="J925" s="31"/>
    </row>
    <row r="926" spans="7:10" x14ac:dyDescent="0.3">
      <c r="G926" s="28"/>
      <c r="H926" s="28"/>
      <c r="I926" s="28"/>
      <c r="J926" s="31"/>
    </row>
    <row r="927" spans="7:10" x14ac:dyDescent="0.3">
      <c r="G927" s="28"/>
      <c r="H927" s="28"/>
      <c r="I927" s="28"/>
      <c r="J927" s="31"/>
    </row>
    <row r="928" spans="7:10" x14ac:dyDescent="0.3">
      <c r="G928" s="28"/>
      <c r="H928" s="28"/>
      <c r="I928" s="28"/>
      <c r="J928" s="31"/>
    </row>
    <row r="929" spans="7:10" x14ac:dyDescent="0.3">
      <c r="G929" s="28"/>
      <c r="H929" s="28"/>
      <c r="I929" s="28"/>
      <c r="J929" s="31"/>
    </row>
    <row r="930" spans="7:10" x14ac:dyDescent="0.3">
      <c r="G930" s="28"/>
      <c r="H930" s="28"/>
      <c r="I930" s="28"/>
      <c r="J930" s="31"/>
    </row>
    <row r="931" spans="7:10" x14ac:dyDescent="0.3">
      <c r="G931" s="28"/>
      <c r="H931" s="28"/>
      <c r="I931" s="28"/>
      <c r="J931" s="31"/>
    </row>
    <row r="932" spans="7:10" x14ac:dyDescent="0.3">
      <c r="G932" s="28"/>
      <c r="H932" s="28"/>
      <c r="I932" s="28"/>
      <c r="J932" s="31"/>
    </row>
    <row r="933" spans="7:10" x14ac:dyDescent="0.3">
      <c r="G933" s="28"/>
      <c r="H933" s="28"/>
      <c r="I933" s="28"/>
      <c r="J933" s="31"/>
    </row>
    <row r="934" spans="7:10" x14ac:dyDescent="0.3">
      <c r="G934" s="28"/>
      <c r="H934" s="28"/>
      <c r="I934" s="28"/>
      <c r="J934" s="31"/>
    </row>
    <row r="935" spans="7:10" x14ac:dyDescent="0.3">
      <c r="G935" s="28"/>
      <c r="H935" s="28"/>
      <c r="I935" s="28"/>
      <c r="J935" s="31"/>
    </row>
    <row r="936" spans="7:10" x14ac:dyDescent="0.3">
      <c r="G936" s="28"/>
      <c r="H936" s="28"/>
      <c r="I936" s="28"/>
      <c r="J936" s="31"/>
    </row>
    <row r="937" spans="7:10" x14ac:dyDescent="0.3">
      <c r="G937" s="28"/>
      <c r="H937" s="28"/>
      <c r="I937" s="28"/>
      <c r="J937" s="31"/>
    </row>
    <row r="938" spans="7:10" x14ac:dyDescent="0.3">
      <c r="G938" s="28"/>
      <c r="H938" s="28"/>
      <c r="I938" s="28"/>
      <c r="J938" s="31"/>
    </row>
    <row r="939" spans="7:10" x14ac:dyDescent="0.3">
      <c r="G939" s="28"/>
      <c r="H939" s="28"/>
      <c r="I939" s="28"/>
      <c r="J939" s="31"/>
    </row>
    <row r="940" spans="7:10" x14ac:dyDescent="0.3">
      <c r="G940" s="28"/>
      <c r="H940" s="28"/>
      <c r="I940" s="28"/>
      <c r="J940" s="31"/>
    </row>
    <row r="941" spans="7:10" x14ac:dyDescent="0.3">
      <c r="G941" s="28"/>
      <c r="H941" s="28"/>
      <c r="I941" s="28"/>
      <c r="J941" s="31"/>
    </row>
    <row r="942" spans="7:10" x14ac:dyDescent="0.3">
      <c r="G942" s="28"/>
      <c r="H942" s="28"/>
      <c r="I942" s="28"/>
      <c r="J942" s="31"/>
    </row>
    <row r="943" spans="7:10" x14ac:dyDescent="0.3">
      <c r="G943" s="28"/>
      <c r="H943" s="28"/>
      <c r="I943" s="28"/>
      <c r="J943" s="31"/>
    </row>
    <row r="944" spans="7:10" x14ac:dyDescent="0.3">
      <c r="G944" s="28"/>
      <c r="H944" s="28"/>
      <c r="I944" s="28"/>
      <c r="J944" s="31"/>
    </row>
    <row r="945" spans="7:10" x14ac:dyDescent="0.3">
      <c r="G945" s="28"/>
      <c r="H945" s="28"/>
      <c r="I945" s="28"/>
      <c r="J945" s="31"/>
    </row>
    <row r="946" spans="7:10" x14ac:dyDescent="0.3">
      <c r="G946" s="28"/>
      <c r="H946" s="28"/>
      <c r="I946" s="28"/>
      <c r="J946" s="31"/>
    </row>
    <row r="947" spans="7:10" x14ac:dyDescent="0.3">
      <c r="G947" s="28"/>
      <c r="H947" s="28"/>
      <c r="I947" s="28"/>
      <c r="J947" s="31"/>
    </row>
    <row r="948" spans="7:10" x14ac:dyDescent="0.3">
      <c r="G948" s="28"/>
      <c r="H948" s="28"/>
      <c r="I948" s="28"/>
      <c r="J948" s="31"/>
    </row>
    <row r="949" spans="7:10" x14ac:dyDescent="0.3">
      <c r="G949" s="28"/>
      <c r="H949" s="28"/>
      <c r="I949" s="28"/>
      <c r="J949" s="31"/>
    </row>
    <row r="950" spans="7:10" x14ac:dyDescent="0.3">
      <c r="G950" s="28"/>
      <c r="H950" s="28"/>
      <c r="I950" s="28"/>
      <c r="J950" s="31"/>
    </row>
    <row r="951" spans="7:10" x14ac:dyDescent="0.3">
      <c r="G951" s="28"/>
      <c r="H951" s="28"/>
      <c r="I951" s="28"/>
      <c r="J951" s="31"/>
    </row>
    <row r="952" spans="7:10" x14ac:dyDescent="0.3">
      <c r="G952" s="28"/>
      <c r="H952" s="28"/>
      <c r="I952" s="28"/>
      <c r="J952" s="31"/>
    </row>
    <row r="953" spans="7:10" x14ac:dyDescent="0.3">
      <c r="G953" s="28"/>
      <c r="H953" s="28"/>
      <c r="I953" s="28"/>
      <c r="J953" s="31"/>
    </row>
    <row r="954" spans="7:10" x14ac:dyDescent="0.3">
      <c r="G954" s="28"/>
      <c r="H954" s="28"/>
      <c r="I954" s="28"/>
      <c r="J954" s="31"/>
    </row>
    <row r="955" spans="7:10" x14ac:dyDescent="0.3">
      <c r="G955" s="28"/>
      <c r="H955" s="28"/>
      <c r="I955" s="28"/>
      <c r="J955" s="31"/>
    </row>
    <row r="956" spans="7:10" x14ac:dyDescent="0.3">
      <c r="G956" s="28"/>
      <c r="H956" s="28"/>
      <c r="I956" s="28"/>
      <c r="J956" s="31"/>
    </row>
    <row r="957" spans="7:10" x14ac:dyDescent="0.3">
      <c r="G957" s="28"/>
      <c r="H957" s="28"/>
      <c r="I957" s="28"/>
      <c r="J957" s="31"/>
    </row>
    <row r="958" spans="7:10" x14ac:dyDescent="0.3">
      <c r="G958" s="28"/>
      <c r="H958" s="28"/>
      <c r="I958" s="28"/>
      <c r="J958" s="31"/>
    </row>
    <row r="959" spans="7:10" x14ac:dyDescent="0.3">
      <c r="G959" s="28"/>
      <c r="H959" s="28"/>
      <c r="I959" s="28"/>
      <c r="J959" s="31"/>
    </row>
    <row r="960" spans="7:10" x14ac:dyDescent="0.3">
      <c r="G960" s="28"/>
      <c r="H960" s="28"/>
      <c r="I960" s="28"/>
      <c r="J960" s="31"/>
    </row>
    <row r="961" spans="7:10" x14ac:dyDescent="0.3">
      <c r="G961" s="28"/>
      <c r="H961" s="28"/>
      <c r="I961" s="28"/>
      <c r="J961" s="31"/>
    </row>
    <row r="962" spans="7:10" x14ac:dyDescent="0.3">
      <c r="G962" s="28"/>
      <c r="H962" s="28"/>
      <c r="I962" s="28"/>
      <c r="J962" s="31"/>
    </row>
    <row r="963" spans="7:10" x14ac:dyDescent="0.3">
      <c r="G963" s="28"/>
      <c r="H963" s="28"/>
      <c r="I963" s="28"/>
      <c r="J963" s="31"/>
    </row>
    <row r="964" spans="7:10" x14ac:dyDescent="0.3">
      <c r="G964" s="28"/>
      <c r="H964" s="28"/>
      <c r="I964" s="28"/>
      <c r="J964" s="31"/>
    </row>
    <row r="965" spans="7:10" x14ac:dyDescent="0.3">
      <c r="G965" s="28"/>
      <c r="H965" s="28"/>
      <c r="I965" s="28"/>
      <c r="J965" s="31"/>
    </row>
    <row r="966" spans="7:10" x14ac:dyDescent="0.3">
      <c r="G966" s="28"/>
      <c r="H966" s="28"/>
      <c r="I966" s="28"/>
      <c r="J966" s="31"/>
    </row>
    <row r="967" spans="7:10" x14ac:dyDescent="0.3">
      <c r="G967" s="28"/>
      <c r="H967" s="28"/>
      <c r="I967" s="28"/>
      <c r="J967" s="31"/>
    </row>
    <row r="968" spans="7:10" x14ac:dyDescent="0.3">
      <c r="G968" s="28"/>
      <c r="H968" s="28"/>
      <c r="I968" s="28"/>
      <c r="J968" s="31"/>
    </row>
    <row r="969" spans="7:10" x14ac:dyDescent="0.3">
      <c r="G969" s="28"/>
      <c r="H969" s="28"/>
      <c r="I969" s="28"/>
      <c r="J969" s="31"/>
    </row>
    <row r="970" spans="7:10" x14ac:dyDescent="0.3">
      <c r="G970" s="28"/>
      <c r="H970" s="28"/>
      <c r="I970" s="28"/>
      <c r="J970" s="31"/>
    </row>
    <row r="971" spans="7:10" x14ac:dyDescent="0.3">
      <c r="G971" s="28"/>
      <c r="H971" s="28"/>
      <c r="I971" s="28"/>
      <c r="J971" s="31"/>
    </row>
    <row r="972" spans="7:10" x14ac:dyDescent="0.3">
      <c r="G972" s="28"/>
      <c r="H972" s="28"/>
      <c r="I972" s="28"/>
      <c r="J972" s="31"/>
    </row>
    <row r="973" spans="7:10" x14ac:dyDescent="0.3">
      <c r="G973" s="28"/>
      <c r="H973" s="28"/>
      <c r="I973" s="28"/>
      <c r="J973" s="31"/>
    </row>
    <row r="974" spans="7:10" x14ac:dyDescent="0.3">
      <c r="G974" s="28"/>
      <c r="H974" s="28"/>
      <c r="I974" s="28"/>
      <c r="J974" s="31"/>
    </row>
    <row r="975" spans="7:10" x14ac:dyDescent="0.3">
      <c r="G975" s="28"/>
      <c r="H975" s="28"/>
      <c r="I975" s="28"/>
      <c r="J975" s="31"/>
    </row>
    <row r="976" spans="7:10" x14ac:dyDescent="0.3">
      <c r="G976" s="28"/>
      <c r="H976" s="28"/>
      <c r="I976" s="28"/>
      <c r="J976" s="31"/>
    </row>
    <row r="977" spans="7:10" x14ac:dyDescent="0.3">
      <c r="G977" s="28"/>
      <c r="H977" s="28"/>
      <c r="I977" s="28"/>
      <c r="J977" s="31"/>
    </row>
    <row r="978" spans="7:10" x14ac:dyDescent="0.3">
      <c r="G978" s="28"/>
      <c r="H978" s="28"/>
      <c r="I978" s="28"/>
      <c r="J978" s="31"/>
    </row>
    <row r="979" spans="7:10" x14ac:dyDescent="0.3">
      <c r="G979" s="28"/>
      <c r="H979" s="28"/>
      <c r="I979" s="28"/>
      <c r="J979" s="31"/>
    </row>
    <row r="980" spans="7:10" x14ac:dyDescent="0.3">
      <c r="G980" s="28"/>
      <c r="H980" s="28"/>
      <c r="I980" s="28"/>
      <c r="J980" s="31"/>
    </row>
    <row r="981" spans="7:10" x14ac:dyDescent="0.3">
      <c r="G981" s="28"/>
      <c r="H981" s="28"/>
      <c r="I981" s="28"/>
      <c r="J981" s="31"/>
    </row>
    <row r="982" spans="7:10" x14ac:dyDescent="0.3">
      <c r="G982" s="28"/>
      <c r="H982" s="28"/>
      <c r="I982" s="28"/>
      <c r="J982" s="31"/>
    </row>
    <row r="983" spans="7:10" x14ac:dyDescent="0.3">
      <c r="G983" s="28"/>
      <c r="H983" s="28"/>
      <c r="I983" s="28"/>
      <c r="J983" s="31"/>
    </row>
    <row r="984" spans="7:10" x14ac:dyDescent="0.3">
      <c r="G984" s="28"/>
      <c r="H984" s="28"/>
      <c r="I984" s="28"/>
      <c r="J984" s="31"/>
    </row>
    <row r="985" spans="7:10" x14ac:dyDescent="0.3">
      <c r="G985" s="28"/>
      <c r="H985" s="28"/>
      <c r="I985" s="28"/>
      <c r="J985" s="31"/>
    </row>
    <row r="986" spans="7:10" x14ac:dyDescent="0.3">
      <c r="G986" s="28"/>
      <c r="H986" s="28"/>
      <c r="I986" s="28"/>
      <c r="J986" s="31"/>
    </row>
    <row r="987" spans="7:10" x14ac:dyDescent="0.3">
      <c r="G987" s="28"/>
      <c r="H987" s="28"/>
      <c r="I987" s="28"/>
      <c r="J987" s="31"/>
    </row>
    <row r="988" spans="7:10" x14ac:dyDescent="0.3">
      <c r="G988" s="28"/>
      <c r="H988" s="28"/>
      <c r="I988" s="28"/>
      <c r="J988" s="31"/>
    </row>
    <row r="989" spans="7:10" x14ac:dyDescent="0.3">
      <c r="G989" s="28"/>
      <c r="H989" s="28"/>
      <c r="I989" s="28"/>
      <c r="J989" s="31"/>
    </row>
    <row r="990" spans="7:10" x14ac:dyDescent="0.3">
      <c r="G990" s="28"/>
      <c r="H990" s="28"/>
      <c r="I990" s="28"/>
      <c r="J990" s="31"/>
    </row>
    <row r="991" spans="7:10" x14ac:dyDescent="0.3">
      <c r="G991" s="28"/>
      <c r="H991" s="28"/>
      <c r="I991" s="28"/>
      <c r="J991" s="31"/>
    </row>
    <row r="992" spans="7:10" x14ac:dyDescent="0.3">
      <c r="G992" s="28"/>
      <c r="H992" s="28"/>
      <c r="I992" s="28"/>
      <c r="J992" s="31"/>
    </row>
    <row r="993" spans="7:10" x14ac:dyDescent="0.3">
      <c r="G993" s="28"/>
      <c r="H993" s="28"/>
      <c r="I993" s="28"/>
      <c r="J993" s="31"/>
    </row>
    <row r="994" spans="7:10" x14ac:dyDescent="0.3">
      <c r="G994" s="28"/>
      <c r="H994" s="28"/>
      <c r="I994" s="28"/>
      <c r="J994" s="31"/>
    </row>
    <row r="995" spans="7:10" x14ac:dyDescent="0.3">
      <c r="G995" s="28"/>
      <c r="H995" s="28"/>
      <c r="I995" s="28"/>
      <c r="J995" s="31"/>
    </row>
    <row r="996" spans="7:10" x14ac:dyDescent="0.3">
      <c r="G996" s="28"/>
      <c r="H996" s="28"/>
      <c r="I996" s="28"/>
      <c r="J996" s="31"/>
    </row>
    <row r="997" spans="7:10" x14ac:dyDescent="0.3">
      <c r="G997" s="28"/>
      <c r="H997" s="28"/>
      <c r="I997" s="28"/>
      <c r="J997" s="31"/>
    </row>
    <row r="998" spans="7:10" x14ac:dyDescent="0.3">
      <c r="G998" s="28"/>
      <c r="H998" s="28"/>
      <c r="I998" s="28"/>
      <c r="J998" s="31"/>
    </row>
    <row r="999" spans="7:10" x14ac:dyDescent="0.3">
      <c r="G999" s="28"/>
      <c r="H999" s="28"/>
      <c r="I999" s="28"/>
      <c r="J999" s="31"/>
    </row>
    <row r="1000" spans="7:10" x14ac:dyDescent="0.3">
      <c r="G1000" s="28"/>
      <c r="H1000" s="28"/>
      <c r="I1000" s="28"/>
      <c r="J1000" s="31"/>
    </row>
    <row r="1001" spans="7:10" x14ac:dyDescent="0.3">
      <c r="G1001" s="28"/>
      <c r="H1001" s="28"/>
      <c r="I1001" s="28"/>
      <c r="J1001" s="31"/>
    </row>
    <row r="1002" spans="7:10" x14ac:dyDescent="0.3">
      <c r="G1002" s="28"/>
      <c r="H1002" s="28"/>
      <c r="I1002" s="28"/>
      <c r="J1002" s="31"/>
    </row>
    <row r="1003" spans="7:10" x14ac:dyDescent="0.3">
      <c r="G1003" s="28"/>
      <c r="H1003" s="28"/>
      <c r="I1003" s="28"/>
      <c r="J1003" s="31"/>
    </row>
    <row r="1004" spans="7:10" x14ac:dyDescent="0.3">
      <c r="G1004" s="28"/>
      <c r="H1004" s="28"/>
      <c r="I1004" s="28"/>
      <c r="J1004" s="31"/>
    </row>
    <row r="1005" spans="7:10" x14ac:dyDescent="0.3">
      <c r="G1005" s="28"/>
      <c r="H1005" s="28"/>
      <c r="I1005" s="28"/>
      <c r="J1005" s="31"/>
    </row>
    <row r="1006" spans="7:10" x14ac:dyDescent="0.3">
      <c r="G1006" s="28"/>
      <c r="H1006" s="28"/>
      <c r="I1006" s="28"/>
      <c r="J1006" s="31"/>
    </row>
    <row r="1007" spans="7:10" x14ac:dyDescent="0.3">
      <c r="G1007" s="28"/>
      <c r="H1007" s="28"/>
      <c r="I1007" s="28"/>
      <c r="J1007" s="31"/>
    </row>
    <row r="1008" spans="7:10" x14ac:dyDescent="0.3">
      <c r="G1008" s="28"/>
      <c r="H1008" s="28"/>
      <c r="I1008" s="28"/>
      <c r="J1008" s="31"/>
    </row>
    <row r="1009" spans="7:10" x14ac:dyDescent="0.3">
      <c r="G1009" s="28"/>
      <c r="H1009" s="28"/>
      <c r="I1009" s="28"/>
      <c r="J1009" s="31"/>
    </row>
    <row r="1010" spans="7:10" x14ac:dyDescent="0.3">
      <c r="G1010" s="28"/>
      <c r="H1010" s="28"/>
      <c r="I1010" s="28"/>
      <c r="J1010" s="31"/>
    </row>
    <row r="1011" spans="7:10" x14ac:dyDescent="0.3">
      <c r="G1011" s="28"/>
      <c r="H1011" s="28"/>
      <c r="I1011" s="28"/>
      <c r="J1011" s="31"/>
    </row>
    <row r="1012" spans="7:10" x14ac:dyDescent="0.3">
      <c r="G1012" s="28"/>
      <c r="H1012" s="28"/>
      <c r="I1012" s="28"/>
      <c r="J1012" s="31"/>
    </row>
    <row r="1013" spans="7:10" x14ac:dyDescent="0.3">
      <c r="G1013" s="28"/>
      <c r="H1013" s="28"/>
      <c r="I1013" s="28"/>
      <c r="J1013" s="31"/>
    </row>
    <row r="1014" spans="7:10" x14ac:dyDescent="0.3">
      <c r="G1014" s="28"/>
      <c r="H1014" s="28"/>
      <c r="I1014" s="28"/>
      <c r="J1014" s="31"/>
    </row>
    <row r="1015" spans="7:10" x14ac:dyDescent="0.3">
      <c r="G1015" s="28"/>
      <c r="H1015" s="28"/>
      <c r="I1015" s="28"/>
      <c r="J1015" s="31"/>
    </row>
    <row r="1016" spans="7:10" x14ac:dyDescent="0.3">
      <c r="G1016" s="28"/>
      <c r="H1016" s="28"/>
      <c r="I1016" s="28"/>
      <c r="J1016" s="31"/>
    </row>
    <row r="1017" spans="7:10" x14ac:dyDescent="0.3">
      <c r="G1017" s="28"/>
      <c r="H1017" s="28"/>
      <c r="I1017" s="28"/>
      <c r="J1017" s="31"/>
    </row>
    <row r="1018" spans="7:10" x14ac:dyDescent="0.3">
      <c r="G1018" s="28"/>
      <c r="H1018" s="28"/>
      <c r="I1018" s="28"/>
      <c r="J1018" s="31"/>
    </row>
    <row r="1019" spans="7:10" x14ac:dyDescent="0.3">
      <c r="G1019" s="28"/>
      <c r="H1019" s="28"/>
      <c r="I1019" s="28"/>
      <c r="J1019" s="31"/>
    </row>
    <row r="1020" spans="7:10" x14ac:dyDescent="0.3">
      <c r="G1020" s="28"/>
      <c r="H1020" s="28"/>
      <c r="I1020" s="28"/>
      <c r="J1020" s="31"/>
    </row>
    <row r="1021" spans="7:10" x14ac:dyDescent="0.3">
      <c r="G1021" s="28"/>
      <c r="H1021" s="28"/>
      <c r="I1021" s="28"/>
      <c r="J1021" s="31"/>
    </row>
    <row r="1022" spans="7:10" x14ac:dyDescent="0.3">
      <c r="G1022" s="28"/>
      <c r="H1022" s="28"/>
      <c r="I1022" s="28"/>
      <c r="J1022" s="31"/>
    </row>
    <row r="1023" spans="7:10" x14ac:dyDescent="0.3">
      <c r="G1023" s="28"/>
      <c r="H1023" s="28"/>
      <c r="I1023" s="28"/>
      <c r="J1023" s="31"/>
    </row>
    <row r="1024" spans="7:10" x14ac:dyDescent="0.3">
      <c r="G1024" s="28"/>
      <c r="H1024" s="28"/>
      <c r="I1024" s="28"/>
      <c r="J1024" s="31"/>
    </row>
    <row r="1025" spans="7:10" x14ac:dyDescent="0.3">
      <c r="G1025" s="28"/>
      <c r="H1025" s="28"/>
      <c r="I1025" s="28"/>
      <c r="J1025" s="31"/>
    </row>
    <row r="1026" spans="7:10" x14ac:dyDescent="0.3">
      <c r="G1026" s="28"/>
      <c r="H1026" s="28"/>
      <c r="I1026" s="28"/>
      <c r="J1026" s="31"/>
    </row>
    <row r="1027" spans="7:10" x14ac:dyDescent="0.3">
      <c r="G1027" s="28"/>
      <c r="H1027" s="28"/>
      <c r="I1027" s="28"/>
      <c r="J1027" s="31"/>
    </row>
    <row r="1028" spans="7:10" x14ac:dyDescent="0.3">
      <c r="G1028" s="28"/>
      <c r="H1028" s="28"/>
      <c r="I1028" s="28"/>
      <c r="J1028" s="31"/>
    </row>
    <row r="1029" spans="7:10" x14ac:dyDescent="0.3">
      <c r="G1029" s="28"/>
      <c r="H1029" s="28"/>
      <c r="I1029" s="28"/>
      <c r="J1029" s="31"/>
    </row>
    <row r="1030" spans="7:10" x14ac:dyDescent="0.3">
      <c r="G1030" s="28"/>
      <c r="H1030" s="28"/>
      <c r="I1030" s="28"/>
      <c r="J1030" s="31"/>
    </row>
    <row r="1031" spans="7:10" x14ac:dyDescent="0.3">
      <c r="G1031" s="28"/>
      <c r="H1031" s="28"/>
      <c r="I1031" s="28"/>
      <c r="J1031" s="31"/>
    </row>
    <row r="1032" spans="7:10" x14ac:dyDescent="0.3">
      <c r="G1032" s="28"/>
      <c r="H1032" s="28"/>
      <c r="I1032" s="28"/>
      <c r="J1032" s="31"/>
    </row>
    <row r="1033" spans="7:10" x14ac:dyDescent="0.3">
      <c r="G1033" s="28"/>
      <c r="H1033" s="28"/>
      <c r="I1033" s="28"/>
      <c r="J1033" s="31"/>
    </row>
    <row r="1034" spans="7:10" x14ac:dyDescent="0.3">
      <c r="G1034" s="28"/>
      <c r="H1034" s="28"/>
      <c r="I1034" s="28"/>
      <c r="J1034" s="31"/>
    </row>
    <row r="1035" spans="7:10" x14ac:dyDescent="0.3">
      <c r="G1035" s="28"/>
      <c r="H1035" s="28"/>
      <c r="I1035" s="28"/>
      <c r="J1035" s="31"/>
    </row>
    <row r="1036" spans="7:10" x14ac:dyDescent="0.3">
      <c r="G1036" s="28"/>
      <c r="H1036" s="28"/>
      <c r="I1036" s="28"/>
      <c r="J1036" s="31"/>
    </row>
    <row r="1037" spans="7:10" x14ac:dyDescent="0.3">
      <c r="G1037" s="28"/>
      <c r="H1037" s="28"/>
      <c r="I1037" s="28"/>
      <c r="J1037" s="31"/>
    </row>
    <row r="1038" spans="7:10" x14ac:dyDescent="0.3">
      <c r="G1038" s="28"/>
      <c r="H1038" s="28"/>
      <c r="I1038" s="28"/>
      <c r="J1038" s="31"/>
    </row>
    <row r="1039" spans="7:10" x14ac:dyDescent="0.3">
      <c r="G1039" s="28"/>
      <c r="H1039" s="28"/>
      <c r="I1039" s="28"/>
      <c r="J1039" s="31"/>
    </row>
    <row r="1040" spans="7:10" x14ac:dyDescent="0.3">
      <c r="G1040" s="28"/>
      <c r="H1040" s="28"/>
      <c r="I1040" s="28"/>
      <c r="J1040" s="31"/>
    </row>
    <row r="1041" spans="7:10" x14ac:dyDescent="0.3">
      <c r="G1041" s="28"/>
      <c r="H1041" s="28"/>
      <c r="I1041" s="28"/>
      <c r="J1041" s="31"/>
    </row>
    <row r="1042" spans="7:10" x14ac:dyDescent="0.3">
      <c r="G1042" s="28"/>
      <c r="H1042" s="28"/>
      <c r="I1042" s="28"/>
      <c r="J1042" s="31"/>
    </row>
    <row r="1043" spans="7:10" x14ac:dyDescent="0.3">
      <c r="G1043" s="28"/>
      <c r="H1043" s="28"/>
      <c r="I1043" s="28"/>
      <c r="J1043" s="31"/>
    </row>
    <row r="1044" spans="7:10" x14ac:dyDescent="0.3">
      <c r="G1044" s="28"/>
      <c r="H1044" s="28"/>
      <c r="I1044" s="28"/>
      <c r="J1044" s="31"/>
    </row>
    <row r="1045" spans="7:10" x14ac:dyDescent="0.3">
      <c r="G1045" s="28"/>
      <c r="H1045" s="28"/>
      <c r="I1045" s="28"/>
      <c r="J1045" s="31"/>
    </row>
    <row r="1046" spans="7:10" x14ac:dyDescent="0.3">
      <c r="G1046" s="28"/>
      <c r="H1046" s="28"/>
      <c r="I1046" s="28"/>
      <c r="J1046" s="31"/>
    </row>
    <row r="1047" spans="7:10" x14ac:dyDescent="0.3">
      <c r="G1047" s="28"/>
      <c r="H1047" s="28"/>
      <c r="I1047" s="28"/>
      <c r="J1047" s="31"/>
    </row>
    <row r="1048" spans="7:10" x14ac:dyDescent="0.3">
      <c r="G1048" s="28"/>
      <c r="H1048" s="28"/>
      <c r="I1048" s="28"/>
      <c r="J1048" s="31"/>
    </row>
    <row r="1049" spans="7:10" x14ac:dyDescent="0.3">
      <c r="G1049" s="28"/>
      <c r="H1049" s="28"/>
      <c r="I1049" s="28"/>
      <c r="J1049" s="31"/>
    </row>
    <row r="1050" spans="7:10" x14ac:dyDescent="0.3">
      <c r="G1050" s="28"/>
      <c r="H1050" s="28"/>
      <c r="I1050" s="28"/>
      <c r="J1050" s="31"/>
    </row>
    <row r="1051" spans="7:10" x14ac:dyDescent="0.3">
      <c r="G1051" s="28"/>
      <c r="H1051" s="28"/>
      <c r="I1051" s="28"/>
      <c r="J1051" s="31"/>
    </row>
    <row r="1052" spans="7:10" x14ac:dyDescent="0.3">
      <c r="G1052" s="28"/>
      <c r="H1052" s="28"/>
      <c r="I1052" s="28"/>
      <c r="J1052" s="31"/>
    </row>
    <row r="1053" spans="7:10" x14ac:dyDescent="0.3">
      <c r="G1053" s="28"/>
      <c r="H1053" s="28"/>
      <c r="I1053" s="28"/>
      <c r="J1053" s="31"/>
    </row>
    <row r="1054" spans="7:10" x14ac:dyDescent="0.3">
      <c r="G1054" s="28"/>
      <c r="H1054" s="28"/>
      <c r="I1054" s="28"/>
      <c r="J1054" s="31"/>
    </row>
    <row r="1055" spans="7:10" x14ac:dyDescent="0.3">
      <c r="G1055" s="28"/>
      <c r="H1055" s="28"/>
      <c r="I1055" s="28"/>
      <c r="J1055" s="31"/>
    </row>
    <row r="1056" spans="7:10" x14ac:dyDescent="0.3">
      <c r="G1056" s="28"/>
      <c r="H1056" s="28"/>
      <c r="I1056" s="28"/>
      <c r="J1056" s="31"/>
    </row>
    <row r="1057" spans="7:10" x14ac:dyDescent="0.3">
      <c r="G1057" s="28"/>
      <c r="H1057" s="28"/>
      <c r="I1057" s="28"/>
      <c r="J1057" s="31"/>
    </row>
    <row r="1058" spans="7:10" x14ac:dyDescent="0.3">
      <c r="G1058" s="28"/>
      <c r="H1058" s="28"/>
      <c r="I1058" s="28"/>
      <c r="J1058" s="31"/>
    </row>
    <row r="1059" spans="7:10" x14ac:dyDescent="0.3">
      <c r="G1059" s="28"/>
      <c r="H1059" s="28"/>
      <c r="I1059" s="28"/>
      <c r="J1059" s="31"/>
    </row>
    <row r="1060" spans="7:10" x14ac:dyDescent="0.3">
      <c r="G1060" s="28"/>
      <c r="H1060" s="28"/>
      <c r="I1060" s="28"/>
      <c r="J1060" s="31"/>
    </row>
    <row r="1061" spans="7:10" x14ac:dyDescent="0.3">
      <c r="G1061" s="28"/>
      <c r="H1061" s="28"/>
      <c r="I1061" s="28"/>
      <c r="J1061" s="31"/>
    </row>
    <row r="1062" spans="7:10" x14ac:dyDescent="0.3">
      <c r="G1062" s="28"/>
      <c r="H1062" s="28"/>
      <c r="I1062" s="28"/>
      <c r="J1062" s="31"/>
    </row>
    <row r="1063" spans="7:10" x14ac:dyDescent="0.3">
      <c r="G1063" s="28"/>
      <c r="H1063" s="28"/>
      <c r="I1063" s="28"/>
      <c r="J1063" s="31"/>
    </row>
    <row r="1064" spans="7:10" x14ac:dyDescent="0.3">
      <c r="G1064" s="28"/>
      <c r="H1064" s="28"/>
      <c r="I1064" s="28"/>
      <c r="J1064" s="31"/>
    </row>
    <row r="1065" spans="7:10" x14ac:dyDescent="0.3">
      <c r="G1065" s="28"/>
      <c r="H1065" s="28"/>
      <c r="I1065" s="28"/>
      <c r="J1065" s="31"/>
    </row>
    <row r="1066" spans="7:10" x14ac:dyDescent="0.3">
      <c r="G1066" s="28"/>
      <c r="H1066" s="28"/>
      <c r="I1066" s="28"/>
      <c r="J1066" s="31"/>
    </row>
    <row r="1067" spans="7:10" x14ac:dyDescent="0.3">
      <c r="G1067" s="28"/>
      <c r="H1067" s="28"/>
      <c r="I1067" s="28"/>
      <c r="J1067" s="31"/>
    </row>
    <row r="1068" spans="7:10" x14ac:dyDescent="0.3">
      <c r="G1068" s="28"/>
      <c r="H1068" s="28"/>
      <c r="I1068" s="28"/>
      <c r="J1068" s="31"/>
    </row>
    <row r="1069" spans="7:10" x14ac:dyDescent="0.3">
      <c r="G1069" s="28"/>
      <c r="H1069" s="28"/>
      <c r="I1069" s="28"/>
      <c r="J1069" s="31"/>
    </row>
    <row r="1070" spans="7:10" x14ac:dyDescent="0.3">
      <c r="G1070" s="28"/>
      <c r="H1070" s="28"/>
      <c r="I1070" s="28"/>
      <c r="J1070" s="31"/>
    </row>
    <row r="1071" spans="7:10" x14ac:dyDescent="0.3">
      <c r="G1071" s="28"/>
      <c r="H1071" s="28"/>
      <c r="I1071" s="28"/>
      <c r="J1071" s="31"/>
    </row>
    <row r="1072" spans="7:10" x14ac:dyDescent="0.3">
      <c r="G1072" s="28"/>
      <c r="H1072" s="28"/>
      <c r="I1072" s="28"/>
      <c r="J1072" s="31"/>
    </row>
    <row r="1073" spans="7:10" x14ac:dyDescent="0.3">
      <c r="G1073" s="28"/>
      <c r="H1073" s="28"/>
      <c r="I1073" s="28"/>
      <c r="J1073" s="31"/>
    </row>
    <row r="1074" spans="7:10" x14ac:dyDescent="0.3">
      <c r="G1074" s="28"/>
      <c r="H1074" s="28"/>
      <c r="I1074" s="28"/>
      <c r="J1074" s="31"/>
    </row>
    <row r="1075" spans="7:10" x14ac:dyDescent="0.3">
      <c r="G1075" s="28"/>
      <c r="H1075" s="28"/>
      <c r="I1075" s="28"/>
      <c r="J1075" s="31"/>
    </row>
    <row r="1076" spans="7:10" x14ac:dyDescent="0.3">
      <c r="G1076" s="28"/>
      <c r="H1076" s="28"/>
      <c r="I1076" s="28"/>
      <c r="J1076" s="31"/>
    </row>
    <row r="1077" spans="7:10" x14ac:dyDescent="0.3">
      <c r="G1077" s="28"/>
      <c r="H1077" s="28"/>
      <c r="I1077" s="28"/>
      <c r="J1077" s="31"/>
    </row>
    <row r="1078" spans="7:10" x14ac:dyDescent="0.3">
      <c r="G1078" s="28"/>
      <c r="H1078" s="28"/>
      <c r="I1078" s="28"/>
      <c r="J1078" s="31"/>
    </row>
    <row r="1079" spans="7:10" x14ac:dyDescent="0.3">
      <c r="G1079" s="28"/>
      <c r="H1079" s="28"/>
      <c r="I1079" s="28"/>
      <c r="J1079" s="31"/>
    </row>
    <row r="1080" spans="7:10" x14ac:dyDescent="0.3">
      <c r="G1080" s="28"/>
      <c r="H1080" s="28"/>
      <c r="I1080" s="28"/>
      <c r="J1080" s="31"/>
    </row>
    <row r="1081" spans="7:10" x14ac:dyDescent="0.3">
      <c r="G1081" s="28"/>
      <c r="H1081" s="28"/>
      <c r="I1081" s="28"/>
      <c r="J1081" s="31"/>
    </row>
    <row r="1082" spans="7:10" x14ac:dyDescent="0.3">
      <c r="G1082" s="28"/>
      <c r="H1082" s="28"/>
      <c r="I1082" s="28"/>
      <c r="J1082" s="31"/>
    </row>
    <row r="1083" spans="7:10" x14ac:dyDescent="0.3">
      <c r="G1083" s="28"/>
      <c r="H1083" s="28"/>
      <c r="I1083" s="28"/>
      <c r="J1083" s="31"/>
    </row>
    <row r="1084" spans="7:10" x14ac:dyDescent="0.3">
      <c r="G1084" s="28"/>
      <c r="H1084" s="28"/>
      <c r="I1084" s="28"/>
      <c r="J1084" s="31"/>
    </row>
    <row r="1085" spans="7:10" x14ac:dyDescent="0.3">
      <c r="G1085" s="28"/>
      <c r="H1085" s="28"/>
      <c r="I1085" s="28"/>
      <c r="J1085" s="31"/>
    </row>
    <row r="1086" spans="7:10" x14ac:dyDescent="0.3">
      <c r="G1086" s="28"/>
      <c r="H1086" s="28"/>
      <c r="I1086" s="28"/>
      <c r="J1086" s="31"/>
    </row>
    <row r="1087" spans="7:10" x14ac:dyDescent="0.3">
      <c r="G1087" s="28"/>
      <c r="H1087" s="28"/>
      <c r="I1087" s="28"/>
      <c r="J1087" s="31"/>
    </row>
    <row r="1088" spans="7:10" x14ac:dyDescent="0.3">
      <c r="G1088" s="28"/>
      <c r="H1088" s="28"/>
      <c r="I1088" s="28"/>
      <c r="J1088" s="31"/>
    </row>
    <row r="1089" spans="7:10" x14ac:dyDescent="0.3">
      <c r="G1089" s="28"/>
      <c r="H1089" s="28"/>
      <c r="I1089" s="28"/>
      <c r="J1089" s="31"/>
    </row>
    <row r="1090" spans="7:10" x14ac:dyDescent="0.3">
      <c r="G1090" s="28"/>
      <c r="H1090" s="28"/>
      <c r="I1090" s="28"/>
      <c r="J1090" s="31"/>
    </row>
    <row r="1091" spans="7:10" x14ac:dyDescent="0.3">
      <c r="G1091" s="28"/>
      <c r="H1091" s="28"/>
      <c r="I1091" s="28"/>
      <c r="J1091" s="31"/>
    </row>
    <row r="1092" spans="7:10" x14ac:dyDescent="0.3">
      <c r="G1092" s="28"/>
      <c r="H1092" s="28"/>
      <c r="I1092" s="28"/>
      <c r="J1092" s="31"/>
    </row>
    <row r="1093" spans="7:10" x14ac:dyDescent="0.3">
      <c r="G1093" s="28"/>
      <c r="H1093" s="28"/>
      <c r="I1093" s="28"/>
      <c r="J1093" s="31"/>
    </row>
    <row r="1094" spans="7:10" x14ac:dyDescent="0.3">
      <c r="G1094" s="28"/>
      <c r="H1094" s="28"/>
      <c r="I1094" s="28"/>
      <c r="J1094" s="31"/>
    </row>
    <row r="1095" spans="7:10" x14ac:dyDescent="0.3">
      <c r="G1095" s="28"/>
      <c r="H1095" s="28"/>
      <c r="I1095" s="28"/>
      <c r="J1095" s="31"/>
    </row>
    <row r="1096" spans="7:10" x14ac:dyDescent="0.3">
      <c r="G1096" s="28"/>
      <c r="H1096" s="28"/>
      <c r="I1096" s="28"/>
      <c r="J1096" s="31"/>
    </row>
    <row r="1097" spans="7:10" x14ac:dyDescent="0.3">
      <c r="G1097" s="28"/>
      <c r="H1097" s="28"/>
      <c r="I1097" s="28"/>
      <c r="J1097" s="31"/>
    </row>
    <row r="1098" spans="7:10" x14ac:dyDescent="0.3">
      <c r="G1098" s="28"/>
      <c r="H1098" s="28"/>
      <c r="I1098" s="28"/>
      <c r="J1098" s="31"/>
    </row>
    <row r="1099" spans="7:10" x14ac:dyDescent="0.3">
      <c r="G1099" s="28"/>
      <c r="H1099" s="28"/>
      <c r="I1099" s="28"/>
      <c r="J1099" s="31"/>
    </row>
    <row r="1100" spans="7:10" x14ac:dyDescent="0.3">
      <c r="G1100" s="28"/>
      <c r="H1100" s="28"/>
      <c r="I1100" s="28"/>
      <c r="J1100" s="31"/>
    </row>
    <row r="1101" spans="7:10" x14ac:dyDescent="0.3">
      <c r="G1101" s="28"/>
      <c r="H1101" s="28"/>
      <c r="I1101" s="28"/>
      <c r="J1101" s="31"/>
    </row>
    <row r="1102" spans="7:10" x14ac:dyDescent="0.3">
      <c r="G1102" s="28"/>
      <c r="H1102" s="28"/>
      <c r="I1102" s="28"/>
      <c r="J1102" s="31"/>
    </row>
    <row r="1103" spans="7:10" x14ac:dyDescent="0.3">
      <c r="G1103" s="28"/>
      <c r="H1103" s="28"/>
      <c r="I1103" s="28"/>
      <c r="J1103" s="31"/>
    </row>
    <row r="1104" spans="7:10" x14ac:dyDescent="0.3">
      <c r="G1104" s="28"/>
      <c r="H1104" s="28"/>
      <c r="I1104" s="28"/>
      <c r="J1104" s="31"/>
    </row>
    <row r="1105" spans="7:10" x14ac:dyDescent="0.3">
      <c r="G1105" s="28"/>
      <c r="H1105" s="28"/>
      <c r="I1105" s="28"/>
      <c r="J1105" s="31"/>
    </row>
    <row r="1106" spans="7:10" x14ac:dyDescent="0.3">
      <c r="G1106" s="28"/>
      <c r="H1106" s="28"/>
      <c r="I1106" s="28"/>
      <c r="J1106" s="31"/>
    </row>
    <row r="1107" spans="7:10" x14ac:dyDescent="0.3">
      <c r="G1107" s="28"/>
      <c r="H1107" s="28"/>
      <c r="I1107" s="28"/>
      <c r="J1107" s="31"/>
    </row>
    <row r="1108" spans="7:10" x14ac:dyDescent="0.3">
      <c r="G1108" s="28"/>
      <c r="H1108" s="28"/>
      <c r="I1108" s="28"/>
      <c r="J1108" s="31"/>
    </row>
    <row r="1109" spans="7:10" x14ac:dyDescent="0.3">
      <c r="G1109" s="28"/>
      <c r="H1109" s="28"/>
      <c r="I1109" s="28"/>
      <c r="J1109" s="31"/>
    </row>
    <row r="1110" spans="7:10" x14ac:dyDescent="0.3">
      <c r="G1110" s="28"/>
      <c r="H1110" s="28"/>
      <c r="I1110" s="28"/>
      <c r="J1110" s="31"/>
    </row>
    <row r="1111" spans="7:10" x14ac:dyDescent="0.3">
      <c r="G1111" s="28"/>
      <c r="H1111" s="28"/>
      <c r="I1111" s="28"/>
      <c r="J1111" s="31"/>
    </row>
    <row r="1112" spans="7:10" x14ac:dyDescent="0.3">
      <c r="G1112" s="28"/>
      <c r="H1112" s="28"/>
      <c r="I1112" s="28"/>
      <c r="J1112" s="31"/>
    </row>
    <row r="1113" spans="7:10" x14ac:dyDescent="0.3">
      <c r="G1113" s="28"/>
      <c r="H1113" s="28"/>
      <c r="I1113" s="28"/>
      <c r="J1113" s="31"/>
    </row>
    <row r="1114" spans="7:10" x14ac:dyDescent="0.3">
      <c r="G1114" s="28"/>
      <c r="H1114" s="28"/>
      <c r="I1114" s="28"/>
      <c r="J1114" s="31"/>
    </row>
    <row r="1115" spans="7:10" x14ac:dyDescent="0.3">
      <c r="G1115" s="28"/>
      <c r="H1115" s="28"/>
      <c r="I1115" s="28"/>
      <c r="J1115" s="31"/>
    </row>
    <row r="1116" spans="7:10" x14ac:dyDescent="0.3">
      <c r="G1116" s="28"/>
      <c r="H1116" s="28"/>
      <c r="I1116" s="28"/>
      <c r="J1116" s="31"/>
    </row>
    <row r="1117" spans="7:10" x14ac:dyDescent="0.3">
      <c r="G1117" s="28"/>
      <c r="H1117" s="28"/>
      <c r="I1117" s="28"/>
      <c r="J1117" s="31"/>
    </row>
    <row r="1118" spans="7:10" x14ac:dyDescent="0.3">
      <c r="G1118" s="28"/>
      <c r="H1118" s="28"/>
      <c r="I1118" s="28"/>
      <c r="J1118" s="31"/>
    </row>
    <row r="1119" spans="7:10" x14ac:dyDescent="0.3">
      <c r="G1119" s="28"/>
      <c r="H1119" s="28"/>
      <c r="I1119" s="28"/>
      <c r="J1119" s="31"/>
    </row>
    <row r="1120" spans="7:10" x14ac:dyDescent="0.3">
      <c r="G1120" s="28"/>
      <c r="H1120" s="28"/>
      <c r="I1120" s="28"/>
      <c r="J1120" s="31"/>
    </row>
    <row r="1121" spans="7:10" x14ac:dyDescent="0.3">
      <c r="G1121" s="28"/>
      <c r="H1121" s="28"/>
      <c r="I1121" s="28"/>
      <c r="J1121" s="31"/>
    </row>
    <row r="1122" spans="7:10" x14ac:dyDescent="0.3">
      <c r="G1122" s="28"/>
      <c r="H1122" s="28"/>
      <c r="I1122" s="28"/>
      <c r="J1122" s="31"/>
    </row>
    <row r="1123" spans="7:10" x14ac:dyDescent="0.3">
      <c r="G1123" s="28"/>
      <c r="H1123" s="28"/>
      <c r="I1123" s="28"/>
      <c r="J1123" s="31"/>
    </row>
    <row r="1124" spans="7:10" x14ac:dyDescent="0.3">
      <c r="G1124" s="28"/>
      <c r="H1124" s="28"/>
      <c r="I1124" s="28"/>
      <c r="J1124" s="31"/>
    </row>
    <row r="1125" spans="7:10" x14ac:dyDescent="0.3">
      <c r="G1125" s="28"/>
      <c r="H1125" s="28"/>
      <c r="I1125" s="28"/>
      <c r="J1125" s="31"/>
    </row>
    <row r="1126" spans="7:10" x14ac:dyDescent="0.3">
      <c r="G1126" s="28"/>
      <c r="H1126" s="28"/>
      <c r="I1126" s="28"/>
      <c r="J1126" s="31"/>
    </row>
    <row r="1127" spans="7:10" x14ac:dyDescent="0.3">
      <c r="G1127" s="28"/>
      <c r="H1127" s="28"/>
      <c r="I1127" s="28"/>
      <c r="J1127" s="31"/>
    </row>
    <row r="1128" spans="7:10" x14ac:dyDescent="0.3">
      <c r="G1128" s="28"/>
      <c r="H1128" s="28"/>
      <c r="I1128" s="28"/>
      <c r="J1128" s="31"/>
    </row>
    <row r="1129" spans="7:10" x14ac:dyDescent="0.3">
      <c r="G1129" s="28"/>
      <c r="H1129" s="28"/>
      <c r="I1129" s="28"/>
      <c r="J1129" s="31"/>
    </row>
    <row r="1130" spans="7:10" x14ac:dyDescent="0.3">
      <c r="G1130" s="28"/>
      <c r="H1130" s="28"/>
      <c r="I1130" s="28"/>
      <c r="J1130" s="31"/>
    </row>
    <row r="1131" spans="7:10" x14ac:dyDescent="0.3">
      <c r="G1131" s="28"/>
      <c r="H1131" s="28"/>
      <c r="I1131" s="28"/>
      <c r="J1131" s="31"/>
    </row>
    <row r="1132" spans="7:10" x14ac:dyDescent="0.3">
      <c r="G1132" s="28"/>
      <c r="H1132" s="28"/>
      <c r="I1132" s="28"/>
      <c r="J1132" s="31"/>
    </row>
    <row r="1133" spans="7:10" x14ac:dyDescent="0.3">
      <c r="G1133" s="28"/>
      <c r="H1133" s="28"/>
      <c r="I1133" s="28"/>
      <c r="J1133" s="31"/>
    </row>
    <row r="1134" spans="7:10" x14ac:dyDescent="0.3">
      <c r="G1134" s="28"/>
      <c r="H1134" s="28"/>
      <c r="I1134" s="28"/>
      <c r="J1134" s="31"/>
    </row>
    <row r="1135" spans="7:10" x14ac:dyDescent="0.3">
      <c r="G1135" s="28"/>
      <c r="H1135" s="28"/>
      <c r="I1135" s="28"/>
      <c r="J1135" s="31"/>
    </row>
    <row r="1136" spans="7:10" x14ac:dyDescent="0.3">
      <c r="G1136" s="28"/>
      <c r="H1136" s="28"/>
      <c r="I1136" s="28"/>
      <c r="J1136" s="31"/>
    </row>
    <row r="1137" spans="7:10" x14ac:dyDescent="0.3">
      <c r="G1137" s="28"/>
      <c r="H1137" s="28"/>
      <c r="I1137" s="28"/>
      <c r="J1137" s="31"/>
    </row>
    <row r="1138" spans="7:10" x14ac:dyDescent="0.3">
      <c r="G1138" s="28"/>
      <c r="H1138" s="28"/>
      <c r="I1138" s="28"/>
      <c r="J1138" s="31"/>
    </row>
    <row r="1139" spans="7:10" x14ac:dyDescent="0.3">
      <c r="G1139" s="28"/>
      <c r="H1139" s="28"/>
      <c r="I1139" s="28"/>
      <c r="J1139" s="31"/>
    </row>
    <row r="1140" spans="7:10" x14ac:dyDescent="0.3">
      <c r="G1140" s="28"/>
      <c r="H1140" s="28"/>
      <c r="I1140" s="28"/>
      <c r="J1140" s="31"/>
    </row>
    <row r="1141" spans="7:10" x14ac:dyDescent="0.3">
      <c r="G1141" s="28"/>
      <c r="H1141" s="28"/>
      <c r="I1141" s="28"/>
      <c r="J1141" s="31"/>
    </row>
    <row r="1142" spans="7:10" x14ac:dyDescent="0.3">
      <c r="G1142" s="28"/>
      <c r="H1142" s="28"/>
      <c r="I1142" s="28"/>
      <c r="J1142" s="31"/>
    </row>
    <row r="1143" spans="7:10" x14ac:dyDescent="0.3">
      <c r="G1143" s="28"/>
      <c r="H1143" s="28"/>
      <c r="I1143" s="28"/>
      <c r="J1143" s="31"/>
    </row>
    <row r="1144" spans="7:10" x14ac:dyDescent="0.3">
      <c r="G1144" s="28"/>
      <c r="H1144" s="28"/>
      <c r="I1144" s="28"/>
      <c r="J1144" s="31"/>
    </row>
    <row r="1145" spans="7:10" x14ac:dyDescent="0.3">
      <c r="G1145" s="28"/>
      <c r="H1145" s="28"/>
      <c r="I1145" s="28"/>
      <c r="J1145" s="31"/>
    </row>
    <row r="1146" spans="7:10" x14ac:dyDescent="0.3">
      <c r="G1146" s="28"/>
      <c r="H1146" s="28"/>
      <c r="I1146" s="28"/>
      <c r="J1146" s="31"/>
    </row>
    <row r="1147" spans="7:10" x14ac:dyDescent="0.3">
      <c r="G1147" s="28"/>
      <c r="H1147" s="28"/>
      <c r="I1147" s="28"/>
      <c r="J1147" s="31"/>
    </row>
    <row r="1148" spans="7:10" x14ac:dyDescent="0.3">
      <c r="G1148" s="28"/>
      <c r="H1148" s="28"/>
      <c r="I1148" s="28"/>
      <c r="J1148" s="31"/>
    </row>
    <row r="1149" spans="7:10" x14ac:dyDescent="0.3">
      <c r="G1149" s="28"/>
      <c r="H1149" s="28"/>
      <c r="I1149" s="28"/>
      <c r="J1149" s="31"/>
    </row>
    <row r="1150" spans="7:10" x14ac:dyDescent="0.3">
      <c r="G1150" s="28"/>
      <c r="H1150" s="28"/>
      <c r="I1150" s="28"/>
      <c r="J1150" s="31"/>
    </row>
    <row r="1151" spans="7:10" x14ac:dyDescent="0.3">
      <c r="G1151" s="28"/>
      <c r="H1151" s="28"/>
      <c r="I1151" s="28"/>
      <c r="J1151" s="31"/>
    </row>
    <row r="1152" spans="7:10" x14ac:dyDescent="0.3">
      <c r="G1152" s="28"/>
      <c r="H1152" s="28"/>
      <c r="I1152" s="28"/>
      <c r="J1152" s="31"/>
    </row>
    <row r="1153" spans="7:10" x14ac:dyDescent="0.3">
      <c r="G1153" s="28"/>
      <c r="H1153" s="28"/>
      <c r="I1153" s="28"/>
      <c r="J1153" s="31"/>
    </row>
    <row r="1154" spans="7:10" x14ac:dyDescent="0.3">
      <c r="G1154" s="28"/>
      <c r="H1154" s="28"/>
      <c r="I1154" s="28"/>
      <c r="J1154" s="31"/>
    </row>
    <row r="1155" spans="7:10" x14ac:dyDescent="0.3">
      <c r="G1155" s="28"/>
      <c r="H1155" s="28"/>
      <c r="I1155" s="28"/>
      <c r="J1155" s="31"/>
    </row>
    <row r="1156" spans="7:10" x14ac:dyDescent="0.3">
      <c r="G1156" s="28"/>
      <c r="H1156" s="28"/>
      <c r="I1156" s="28"/>
      <c r="J1156" s="31"/>
    </row>
    <row r="1157" spans="7:10" x14ac:dyDescent="0.3">
      <c r="G1157" s="28"/>
      <c r="H1157" s="28"/>
      <c r="I1157" s="28"/>
      <c r="J1157" s="31"/>
    </row>
    <row r="1158" spans="7:10" x14ac:dyDescent="0.3">
      <c r="G1158" s="28"/>
      <c r="H1158" s="28"/>
      <c r="I1158" s="28"/>
      <c r="J1158" s="31"/>
    </row>
    <row r="1159" spans="7:10" x14ac:dyDescent="0.3">
      <c r="G1159" s="28"/>
      <c r="H1159" s="28"/>
      <c r="I1159" s="28"/>
      <c r="J1159" s="31"/>
    </row>
    <row r="1160" spans="7:10" x14ac:dyDescent="0.3">
      <c r="G1160" s="28"/>
      <c r="H1160" s="28"/>
      <c r="I1160" s="28"/>
      <c r="J1160" s="31"/>
    </row>
    <row r="1161" spans="7:10" x14ac:dyDescent="0.3">
      <c r="G1161" s="28"/>
      <c r="H1161" s="28"/>
      <c r="I1161" s="28"/>
      <c r="J1161" s="31"/>
    </row>
    <row r="1162" spans="7:10" x14ac:dyDescent="0.3">
      <c r="G1162" s="28"/>
      <c r="H1162" s="28"/>
      <c r="I1162" s="28"/>
      <c r="J1162" s="31"/>
    </row>
    <row r="1163" spans="7:10" x14ac:dyDescent="0.3">
      <c r="G1163" s="28"/>
      <c r="H1163" s="28"/>
      <c r="I1163" s="28"/>
      <c r="J1163" s="31"/>
    </row>
    <row r="1164" spans="7:10" x14ac:dyDescent="0.3">
      <c r="G1164" s="28"/>
      <c r="H1164" s="28"/>
      <c r="I1164" s="28"/>
      <c r="J1164" s="31"/>
    </row>
    <row r="1165" spans="7:10" x14ac:dyDescent="0.3">
      <c r="G1165" s="28"/>
      <c r="H1165" s="28"/>
      <c r="I1165" s="28"/>
      <c r="J1165" s="31"/>
    </row>
    <row r="1166" spans="7:10" x14ac:dyDescent="0.3">
      <c r="G1166" s="28"/>
      <c r="H1166" s="28"/>
      <c r="I1166" s="28"/>
      <c r="J1166" s="31"/>
    </row>
    <row r="1167" spans="7:10" x14ac:dyDescent="0.3">
      <c r="G1167" s="28"/>
      <c r="H1167" s="28"/>
      <c r="I1167" s="28"/>
      <c r="J1167" s="31"/>
    </row>
    <row r="1168" spans="7:10" x14ac:dyDescent="0.3">
      <c r="G1168" s="28"/>
      <c r="H1168" s="28"/>
      <c r="I1168" s="28"/>
      <c r="J1168" s="31"/>
    </row>
    <row r="1169" spans="7:10" x14ac:dyDescent="0.3">
      <c r="G1169" s="28"/>
      <c r="H1169" s="28"/>
      <c r="I1169" s="28"/>
      <c r="J1169" s="31"/>
    </row>
    <row r="1170" spans="7:10" x14ac:dyDescent="0.3">
      <c r="G1170" s="28"/>
      <c r="H1170" s="28"/>
      <c r="I1170" s="28"/>
      <c r="J1170" s="31"/>
    </row>
    <row r="1171" spans="7:10" x14ac:dyDescent="0.3">
      <c r="G1171" s="28"/>
      <c r="H1171" s="28"/>
      <c r="I1171" s="28"/>
      <c r="J1171" s="31"/>
    </row>
    <row r="1172" spans="7:10" x14ac:dyDescent="0.3">
      <c r="G1172" s="28"/>
      <c r="H1172" s="28"/>
      <c r="I1172" s="28"/>
      <c r="J1172" s="31"/>
    </row>
    <row r="1173" spans="7:10" x14ac:dyDescent="0.3">
      <c r="G1173" s="28"/>
      <c r="H1173" s="28"/>
      <c r="I1173" s="28"/>
      <c r="J1173" s="31"/>
    </row>
    <row r="1174" spans="7:10" x14ac:dyDescent="0.3">
      <c r="G1174" s="28"/>
      <c r="H1174" s="28"/>
      <c r="I1174" s="28"/>
      <c r="J1174" s="31"/>
    </row>
    <row r="1175" spans="7:10" x14ac:dyDescent="0.3">
      <c r="G1175" s="28"/>
      <c r="H1175" s="28"/>
      <c r="I1175" s="28"/>
      <c r="J1175" s="31"/>
    </row>
    <row r="1176" spans="7:10" x14ac:dyDescent="0.3">
      <c r="G1176" s="28"/>
      <c r="H1176" s="28"/>
      <c r="I1176" s="28"/>
      <c r="J1176" s="31"/>
    </row>
    <row r="1177" spans="7:10" x14ac:dyDescent="0.3">
      <c r="G1177" s="28"/>
      <c r="H1177" s="28"/>
      <c r="I1177" s="28"/>
      <c r="J1177" s="31"/>
    </row>
    <row r="1178" spans="7:10" x14ac:dyDescent="0.3">
      <c r="G1178" s="28"/>
      <c r="H1178" s="28"/>
      <c r="I1178" s="28"/>
      <c r="J1178" s="31"/>
    </row>
    <row r="1179" spans="7:10" x14ac:dyDescent="0.3">
      <c r="G1179" s="28"/>
      <c r="H1179" s="28"/>
      <c r="I1179" s="28"/>
      <c r="J1179" s="31"/>
    </row>
    <row r="1180" spans="7:10" x14ac:dyDescent="0.3">
      <c r="G1180" s="28"/>
      <c r="H1180" s="28"/>
      <c r="I1180" s="28"/>
      <c r="J1180" s="31"/>
    </row>
    <row r="1181" spans="7:10" x14ac:dyDescent="0.3">
      <c r="G1181" s="28"/>
      <c r="H1181" s="28"/>
      <c r="I1181" s="28"/>
      <c r="J1181" s="31"/>
    </row>
    <row r="1182" spans="7:10" x14ac:dyDescent="0.3">
      <c r="G1182" s="28"/>
      <c r="H1182" s="28"/>
      <c r="I1182" s="28"/>
      <c r="J1182" s="31"/>
    </row>
    <row r="1183" spans="7:10" x14ac:dyDescent="0.3">
      <c r="G1183" s="28"/>
      <c r="H1183" s="28"/>
      <c r="I1183" s="28"/>
      <c r="J1183" s="31"/>
    </row>
    <row r="1184" spans="7:10" x14ac:dyDescent="0.3">
      <c r="G1184" s="28"/>
      <c r="H1184" s="28"/>
      <c r="I1184" s="28"/>
      <c r="J1184" s="31"/>
    </row>
    <row r="1185" spans="7:10" x14ac:dyDescent="0.3">
      <c r="G1185" s="28"/>
      <c r="H1185" s="28"/>
      <c r="I1185" s="28"/>
      <c r="J1185" s="31"/>
    </row>
    <row r="1186" spans="7:10" x14ac:dyDescent="0.3">
      <c r="G1186" s="28"/>
      <c r="H1186" s="28"/>
      <c r="I1186" s="28"/>
      <c r="J1186" s="31"/>
    </row>
    <row r="1187" spans="7:10" x14ac:dyDescent="0.3">
      <c r="G1187" s="28"/>
      <c r="H1187" s="28"/>
      <c r="I1187" s="28"/>
      <c r="J1187" s="31"/>
    </row>
    <row r="1188" spans="7:10" x14ac:dyDescent="0.3">
      <c r="G1188" s="28"/>
      <c r="H1188" s="28"/>
      <c r="I1188" s="28"/>
      <c r="J1188" s="31"/>
    </row>
    <row r="1189" spans="7:10" x14ac:dyDescent="0.3">
      <c r="G1189" s="28"/>
      <c r="H1189" s="28"/>
      <c r="I1189" s="28"/>
      <c r="J1189" s="31"/>
    </row>
    <row r="1190" spans="7:10" x14ac:dyDescent="0.3">
      <c r="G1190" s="28"/>
      <c r="H1190" s="28"/>
      <c r="I1190" s="28"/>
      <c r="J1190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1188"/>
  <sheetViews>
    <sheetView workbookViewId="0"/>
  </sheetViews>
  <sheetFormatPr defaultColWidth="9.109375" defaultRowHeight="18" customHeight="1" x14ac:dyDescent="0.3"/>
  <cols>
    <col min="1" max="1" width="53.5546875" style="24" customWidth="1"/>
    <col min="2" max="6" width="9.109375" style="24"/>
    <col min="7" max="7" width="14.44140625" style="24" customWidth="1"/>
    <col min="8" max="8" width="22" style="24" customWidth="1"/>
    <col min="9" max="10" width="14.44140625" style="24" customWidth="1"/>
    <col min="11" max="16384" width="9.109375" style="24"/>
  </cols>
  <sheetData>
    <row r="1" spans="1:10" ht="18" customHeight="1" x14ac:dyDescent="0.3">
      <c r="A1" s="37" t="s">
        <v>44</v>
      </c>
      <c r="B1" s="37"/>
      <c r="C1" s="37"/>
      <c r="D1" s="37"/>
      <c r="E1" s="37"/>
      <c r="F1" s="37"/>
    </row>
    <row r="2" spans="1:10" ht="18" customHeight="1" x14ac:dyDescent="0.3">
      <c r="A2" s="37"/>
      <c r="B2" s="37"/>
      <c r="C2" s="37"/>
      <c r="D2" s="37"/>
      <c r="E2" s="37"/>
      <c r="F2" s="37"/>
    </row>
    <row r="3" spans="1:10" ht="18" customHeight="1" x14ac:dyDescent="0.3">
      <c r="A3" s="38" t="s">
        <v>21</v>
      </c>
      <c r="B3" s="39">
        <v>25</v>
      </c>
      <c r="C3" s="38">
        <f>B3</f>
        <v>25</v>
      </c>
      <c r="D3" s="38">
        <f t="shared" ref="D3:F4" si="0">C3</f>
        <v>25</v>
      </c>
      <c r="E3" s="38">
        <f t="shared" si="0"/>
        <v>25</v>
      </c>
      <c r="F3" s="38">
        <f t="shared" si="0"/>
        <v>25</v>
      </c>
      <c r="G3" s="28"/>
      <c r="H3" s="28"/>
      <c r="I3" s="28"/>
    </row>
    <row r="4" spans="1:10" ht="18" customHeight="1" x14ac:dyDescent="0.3">
      <c r="A4" s="38" t="s">
        <v>22</v>
      </c>
      <c r="B4" s="39">
        <v>15</v>
      </c>
      <c r="C4" s="38">
        <f>B4</f>
        <v>15</v>
      </c>
      <c r="D4" s="38">
        <f t="shared" si="0"/>
        <v>15</v>
      </c>
      <c r="E4" s="38">
        <f t="shared" si="0"/>
        <v>15</v>
      </c>
      <c r="F4" s="38">
        <f t="shared" si="0"/>
        <v>15</v>
      </c>
      <c r="G4" s="28"/>
      <c r="H4" s="28"/>
      <c r="I4" s="28"/>
    </row>
    <row r="5" spans="1:10" ht="18" customHeight="1" x14ac:dyDescent="0.3">
      <c r="A5" s="38" t="s">
        <v>43</v>
      </c>
      <c r="B5" s="39">
        <v>2</v>
      </c>
      <c r="C5" s="38">
        <v>3</v>
      </c>
      <c r="D5" s="38">
        <v>4</v>
      </c>
      <c r="E5" s="38">
        <v>5</v>
      </c>
      <c r="F5" s="38">
        <v>6</v>
      </c>
      <c r="G5" s="28"/>
      <c r="H5" s="28"/>
      <c r="I5" s="28"/>
    </row>
    <row r="6" spans="1:10" ht="18" customHeight="1" x14ac:dyDescent="0.3">
      <c r="A6" s="38" t="s">
        <v>45</v>
      </c>
      <c r="B6" s="39">
        <v>20</v>
      </c>
      <c r="C6" s="38">
        <f>B6</f>
        <v>20</v>
      </c>
      <c r="D6" s="38">
        <f t="shared" ref="D6:F7" si="1">C6</f>
        <v>20</v>
      </c>
      <c r="E6" s="38">
        <f t="shared" si="1"/>
        <v>20</v>
      </c>
      <c r="F6" s="38">
        <f t="shared" si="1"/>
        <v>20</v>
      </c>
      <c r="G6" s="28"/>
      <c r="H6" s="28"/>
      <c r="I6" s="28"/>
    </row>
    <row r="7" spans="1:10" ht="18" customHeight="1" x14ac:dyDescent="0.3">
      <c r="A7" s="38" t="s">
        <v>46</v>
      </c>
      <c r="B7" s="39">
        <v>80</v>
      </c>
      <c r="C7" s="38">
        <f>B7</f>
        <v>80</v>
      </c>
      <c r="D7" s="38">
        <f t="shared" si="1"/>
        <v>80</v>
      </c>
      <c r="E7" s="38">
        <f t="shared" si="1"/>
        <v>80</v>
      </c>
      <c r="F7" s="38">
        <f t="shared" si="1"/>
        <v>80</v>
      </c>
      <c r="G7" s="28"/>
      <c r="H7" s="28"/>
      <c r="I7" s="28"/>
    </row>
    <row r="8" spans="1:10" ht="18" customHeight="1" x14ac:dyDescent="0.3">
      <c r="A8" s="38" t="s">
        <v>28</v>
      </c>
      <c r="B8" s="39"/>
      <c r="C8" s="38"/>
      <c r="D8" s="38"/>
      <c r="E8" s="38"/>
      <c r="F8" s="38"/>
      <c r="G8" s="28"/>
      <c r="H8" s="28"/>
      <c r="I8" s="28"/>
    </row>
    <row r="9" spans="1:10" ht="18" customHeight="1" x14ac:dyDescent="0.3">
      <c r="A9" s="38" t="s">
        <v>23</v>
      </c>
      <c r="B9" s="40">
        <f>Po(B5,B3,B4)</f>
        <v>9.0909090909090912E-2</v>
      </c>
      <c r="C9" s="41">
        <f>Po(C5,C3,C4)</f>
        <v>0.17266187050359708</v>
      </c>
      <c r="D9" s="41">
        <f>Po(D5,D3,D4)</f>
        <v>0.18593212001967532</v>
      </c>
      <c r="E9" s="41">
        <f>Po(E5,E3,E4)</f>
        <v>0.18834471733759625</v>
      </c>
      <c r="F9" s="41">
        <f>Po(F5,F3,F4)</f>
        <v>0.18878439047711529</v>
      </c>
      <c r="G9" s="28"/>
      <c r="H9" s="28"/>
      <c r="I9" s="28"/>
      <c r="J9" s="31"/>
    </row>
    <row r="10" spans="1:10" ht="18" customHeight="1" x14ac:dyDescent="0.3">
      <c r="A10" s="38" t="s">
        <v>24</v>
      </c>
      <c r="B10" s="40">
        <f>((B3/B4)^B5*B3*B4)/(FACT(B5-1)*(B5*B4-B3)^2)*B9</f>
        <v>3.787878787878789</v>
      </c>
      <c r="C10" s="41">
        <f>((C3/C4)^C5*C3*C4)/(FACT(C5-1)*(C5*C4-C3)^2)*C9</f>
        <v>0.37470023980815342</v>
      </c>
      <c r="D10" s="41">
        <f>((D3/D4)^D5*D3*D4)/(FACT(D5-1)*(D5*D4-D3)^2)*D9</f>
        <v>7.3197011219637897E-2</v>
      </c>
      <c r="E10" s="41">
        <f>((E3/E4)^E5*E3*E4)/(FACT(E5-1)*(E5*E4-E3)^2)*E9</f>
        <v>1.5138303541151966E-2</v>
      </c>
      <c r="F10" s="41">
        <f>((F3/F4)^F5*F3*F4)/(FACT(F5-1)*(F5*F4-F3)^2)*F9</f>
        <v>2.9928288946568285E-3</v>
      </c>
      <c r="G10" s="28"/>
      <c r="H10" s="28"/>
      <c r="I10" s="28"/>
      <c r="J10" s="31"/>
    </row>
    <row r="11" spans="1:10" ht="18" customHeight="1" x14ac:dyDescent="0.3">
      <c r="A11" s="38" t="s">
        <v>26</v>
      </c>
      <c r="B11" s="40">
        <f>B10/B3</f>
        <v>0.15151515151515155</v>
      </c>
      <c r="C11" s="41">
        <f>C10/C3</f>
        <v>1.4988009592326136E-2</v>
      </c>
      <c r="D11" s="41">
        <f>D10/D3</f>
        <v>2.927880448785516E-3</v>
      </c>
      <c r="E11" s="41">
        <f>E10/E3</f>
        <v>6.0553214164607864E-4</v>
      </c>
      <c r="F11" s="41">
        <f>F10/F3</f>
        <v>1.1971315578627315E-4</v>
      </c>
      <c r="G11" s="28"/>
      <c r="H11" s="28"/>
      <c r="I11" s="28"/>
      <c r="J11" s="31"/>
    </row>
    <row r="12" spans="1:10" ht="18" customHeight="1" x14ac:dyDescent="0.3">
      <c r="A12" s="38" t="s">
        <v>27</v>
      </c>
      <c r="B12" s="40">
        <f>B11+1/B4</f>
        <v>0.2181818181818182</v>
      </c>
      <c r="C12" s="41">
        <f>C11+1/C4</f>
        <v>8.1654676258992809E-2</v>
      </c>
      <c r="D12" s="41">
        <f>D11+1/D4</f>
        <v>6.9594547115452182E-2</v>
      </c>
      <c r="E12" s="41">
        <f>E11+1/E4</f>
        <v>6.7272198808312741E-2</v>
      </c>
      <c r="F12" s="41">
        <f>F11+1/F4</f>
        <v>6.6786379822452932E-2</v>
      </c>
      <c r="G12" s="28"/>
      <c r="H12" s="28"/>
      <c r="I12" s="28"/>
      <c r="J12" s="31"/>
    </row>
    <row r="13" spans="1:10" ht="18" customHeight="1" x14ac:dyDescent="0.3">
      <c r="A13" s="42" t="s">
        <v>35</v>
      </c>
      <c r="B13" s="40">
        <f>B3/(B4*B5)</f>
        <v>0.83333333333333337</v>
      </c>
      <c r="C13" s="41">
        <f>C3/(C4*C5)</f>
        <v>0.55555555555555558</v>
      </c>
      <c r="D13" s="41">
        <f>D3/(D4*D5)</f>
        <v>0.41666666666666669</v>
      </c>
      <c r="E13" s="41">
        <f>E3/(E4*E5)</f>
        <v>0.33333333333333331</v>
      </c>
      <c r="F13" s="41">
        <f>F3/(F4*F5)</f>
        <v>0.27777777777777779</v>
      </c>
      <c r="G13" s="28"/>
      <c r="H13" s="28"/>
      <c r="I13" s="28"/>
      <c r="J13" s="31"/>
    </row>
    <row r="14" spans="1:10" ht="18" customHeight="1" x14ac:dyDescent="0.3">
      <c r="A14" s="43" t="s">
        <v>47</v>
      </c>
      <c r="B14" s="37"/>
      <c r="C14" s="37"/>
      <c r="D14" s="44"/>
      <c r="E14" s="37"/>
      <c r="F14" s="37"/>
      <c r="G14" s="28"/>
      <c r="H14" s="28"/>
      <c r="I14" s="28"/>
      <c r="J14" s="31"/>
    </row>
    <row r="15" spans="1:10" ht="18" customHeight="1" x14ac:dyDescent="0.3">
      <c r="A15" s="38" t="s">
        <v>48</v>
      </c>
      <c r="B15" s="45">
        <f>B6*B5</f>
        <v>40</v>
      </c>
      <c r="C15" s="45">
        <f>C6*C5</f>
        <v>60</v>
      </c>
      <c r="D15" s="45">
        <f>D6*D5</f>
        <v>80</v>
      </c>
      <c r="E15" s="45">
        <f>E6*E5</f>
        <v>100</v>
      </c>
      <c r="F15" s="45">
        <f>F6*F5</f>
        <v>120</v>
      </c>
      <c r="G15" s="28"/>
      <c r="H15" s="28"/>
      <c r="I15" s="28"/>
      <c r="J15" s="31"/>
    </row>
    <row r="16" spans="1:10" ht="18" customHeight="1" x14ac:dyDescent="0.3">
      <c r="A16" s="38" t="s">
        <v>49</v>
      </c>
      <c r="B16" s="45">
        <f>B11*B3*B7</f>
        <v>303.03030303030306</v>
      </c>
      <c r="C16" s="45">
        <f>C11*C3*C7</f>
        <v>29.976019184652273</v>
      </c>
      <c r="D16" s="45">
        <f>D11*D3*D7</f>
        <v>5.8557608975710318</v>
      </c>
      <c r="E16" s="45">
        <f>E11*E3*E7</f>
        <v>1.2110642832921572</v>
      </c>
      <c r="F16" s="45">
        <f>F11*F3*F7</f>
        <v>0.23942631157254629</v>
      </c>
      <c r="G16" s="28"/>
      <c r="H16" s="28"/>
      <c r="I16" s="28"/>
      <c r="J16" s="31"/>
    </row>
    <row r="17" spans="1:10" ht="18" customHeight="1" x14ac:dyDescent="0.3">
      <c r="A17" s="38" t="s">
        <v>50</v>
      </c>
      <c r="B17" s="45">
        <f>B15+B16</f>
        <v>343.03030303030306</v>
      </c>
      <c r="C17" s="45">
        <f>C15+C16</f>
        <v>89.976019184652273</v>
      </c>
      <c r="D17" s="45">
        <f>D15+D16</f>
        <v>85.855760897571031</v>
      </c>
      <c r="E17" s="45">
        <f>E15+E16</f>
        <v>101.21106428329216</v>
      </c>
      <c r="F17" s="45">
        <f>F15+F16</f>
        <v>120.23942631157254</v>
      </c>
      <c r="G17" s="28"/>
      <c r="H17" s="28"/>
      <c r="I17" s="28"/>
      <c r="J17" s="31"/>
    </row>
    <row r="18" spans="1:10" ht="18" customHeight="1" x14ac:dyDescent="0.3">
      <c r="D18" s="31"/>
      <c r="G18" s="28"/>
      <c r="H18" s="28"/>
      <c r="I18" s="28"/>
      <c r="J18" s="31"/>
    </row>
    <row r="19" spans="1:10" ht="18" customHeight="1" x14ac:dyDescent="0.3">
      <c r="D19" s="31"/>
      <c r="G19" s="28"/>
      <c r="H19" s="28"/>
      <c r="I19" s="28"/>
      <c r="J19" s="31"/>
    </row>
    <row r="20" spans="1:10" ht="18" customHeight="1" x14ac:dyDescent="0.3">
      <c r="D20" s="31"/>
      <c r="G20" s="28"/>
      <c r="H20" s="28"/>
      <c r="I20" s="28"/>
      <c r="J20" s="31"/>
    </row>
    <row r="21" spans="1:10" ht="18" customHeight="1" x14ac:dyDescent="0.3">
      <c r="G21" s="28"/>
      <c r="H21" s="28"/>
      <c r="I21" s="28"/>
      <c r="J21" s="31"/>
    </row>
    <row r="22" spans="1:10" ht="18" customHeight="1" x14ac:dyDescent="0.3">
      <c r="G22" s="28"/>
      <c r="H22" s="28"/>
      <c r="I22" s="28"/>
      <c r="J22" s="31"/>
    </row>
    <row r="23" spans="1:10" ht="18" customHeight="1" x14ac:dyDescent="0.3">
      <c r="G23" s="28"/>
      <c r="H23" s="28"/>
      <c r="I23" s="28"/>
      <c r="J23" s="31"/>
    </row>
    <row r="24" spans="1:10" ht="18" customHeight="1" x14ac:dyDescent="0.3">
      <c r="G24" s="28"/>
      <c r="H24" s="28"/>
      <c r="I24" s="28"/>
      <c r="J24" s="31"/>
    </row>
    <row r="25" spans="1:10" ht="18" customHeight="1" x14ac:dyDescent="0.3">
      <c r="G25" s="28"/>
      <c r="H25" s="28"/>
      <c r="I25" s="28"/>
      <c r="J25" s="31"/>
    </row>
    <row r="26" spans="1:10" ht="18" customHeight="1" x14ac:dyDescent="0.3">
      <c r="G26" s="28"/>
      <c r="H26" s="28"/>
      <c r="I26" s="28"/>
      <c r="J26" s="31"/>
    </row>
    <row r="27" spans="1:10" ht="18" customHeight="1" x14ac:dyDescent="0.3">
      <c r="G27" s="28"/>
      <c r="H27" s="28"/>
      <c r="I27" s="28"/>
      <c r="J27" s="31"/>
    </row>
    <row r="28" spans="1:10" ht="18" customHeight="1" x14ac:dyDescent="0.3">
      <c r="G28" s="28"/>
      <c r="H28" s="28"/>
      <c r="I28" s="28"/>
      <c r="J28" s="31"/>
    </row>
    <row r="29" spans="1:10" ht="18" customHeight="1" x14ac:dyDescent="0.3">
      <c r="G29" s="28"/>
      <c r="H29" s="28"/>
      <c r="I29" s="28"/>
      <c r="J29" s="31"/>
    </row>
    <row r="30" spans="1:10" ht="18" customHeight="1" x14ac:dyDescent="0.3">
      <c r="G30" s="28"/>
      <c r="H30" s="28"/>
      <c r="I30" s="28"/>
      <c r="J30" s="31"/>
    </row>
    <row r="31" spans="1:10" ht="18" customHeight="1" x14ac:dyDescent="0.3">
      <c r="G31" s="28"/>
      <c r="H31" s="28"/>
      <c r="I31" s="28"/>
      <c r="J31" s="31"/>
    </row>
    <row r="32" spans="1:10" ht="18" customHeight="1" x14ac:dyDescent="0.3">
      <c r="G32" s="28"/>
      <c r="H32" s="28"/>
      <c r="I32" s="28"/>
      <c r="J32" s="31"/>
    </row>
    <row r="33" spans="7:10" ht="18" customHeight="1" x14ac:dyDescent="0.3">
      <c r="G33" s="28"/>
      <c r="H33" s="28"/>
      <c r="I33" s="28"/>
      <c r="J33" s="31"/>
    </row>
    <row r="34" spans="7:10" ht="18" customHeight="1" x14ac:dyDescent="0.3">
      <c r="G34" s="28"/>
      <c r="H34" s="28"/>
      <c r="I34" s="28"/>
      <c r="J34" s="31"/>
    </row>
    <row r="35" spans="7:10" ht="18" customHeight="1" x14ac:dyDescent="0.3">
      <c r="G35" s="28"/>
      <c r="H35" s="28"/>
      <c r="I35" s="28"/>
      <c r="J35" s="31"/>
    </row>
    <row r="36" spans="7:10" ht="18" customHeight="1" x14ac:dyDescent="0.3">
      <c r="G36" s="28"/>
      <c r="H36" s="28"/>
      <c r="I36" s="28"/>
      <c r="J36" s="31"/>
    </row>
    <row r="37" spans="7:10" ht="18" customHeight="1" x14ac:dyDescent="0.3">
      <c r="G37" s="28"/>
      <c r="H37" s="28"/>
      <c r="I37" s="28"/>
      <c r="J37" s="31"/>
    </row>
    <row r="38" spans="7:10" ht="18" customHeight="1" x14ac:dyDescent="0.3">
      <c r="G38" s="28"/>
      <c r="H38" s="28"/>
      <c r="I38" s="28"/>
      <c r="J38" s="31"/>
    </row>
    <row r="39" spans="7:10" ht="18" customHeight="1" x14ac:dyDescent="0.3">
      <c r="G39" s="28"/>
      <c r="H39" s="28"/>
      <c r="I39" s="28"/>
      <c r="J39" s="31"/>
    </row>
    <row r="40" spans="7:10" ht="18" customHeight="1" x14ac:dyDescent="0.3">
      <c r="G40" s="28"/>
      <c r="H40" s="28"/>
      <c r="I40" s="28"/>
      <c r="J40" s="31"/>
    </row>
    <row r="41" spans="7:10" ht="18" customHeight="1" x14ac:dyDescent="0.3">
      <c r="G41" s="28"/>
      <c r="H41" s="28"/>
      <c r="I41" s="28"/>
      <c r="J41" s="31"/>
    </row>
    <row r="42" spans="7:10" ht="18" customHeight="1" x14ac:dyDescent="0.3">
      <c r="G42" s="28"/>
      <c r="H42" s="28"/>
      <c r="I42" s="28"/>
      <c r="J42" s="31"/>
    </row>
    <row r="43" spans="7:10" ht="18" customHeight="1" x14ac:dyDescent="0.3">
      <c r="G43" s="28"/>
      <c r="H43" s="28"/>
      <c r="I43" s="28"/>
      <c r="J43" s="31"/>
    </row>
    <row r="44" spans="7:10" ht="18" customHeight="1" x14ac:dyDescent="0.3">
      <c r="G44" s="28"/>
      <c r="H44" s="28"/>
      <c r="I44" s="28"/>
      <c r="J44" s="31"/>
    </row>
    <row r="45" spans="7:10" ht="18" customHeight="1" x14ac:dyDescent="0.3">
      <c r="G45" s="28"/>
      <c r="H45" s="28"/>
      <c r="I45" s="28"/>
      <c r="J45" s="31"/>
    </row>
    <row r="46" spans="7:10" ht="18" customHeight="1" x14ac:dyDescent="0.3">
      <c r="G46" s="28"/>
      <c r="H46" s="28"/>
      <c r="I46" s="28"/>
      <c r="J46" s="31"/>
    </row>
    <row r="47" spans="7:10" ht="18" customHeight="1" x14ac:dyDescent="0.3">
      <c r="G47" s="28"/>
      <c r="H47" s="28"/>
      <c r="I47" s="28"/>
      <c r="J47" s="31"/>
    </row>
    <row r="48" spans="7:10" ht="18" customHeight="1" x14ac:dyDescent="0.3">
      <c r="G48" s="28"/>
      <c r="H48" s="28"/>
      <c r="I48" s="28"/>
      <c r="J48" s="31"/>
    </row>
    <row r="49" spans="7:10" ht="18" customHeight="1" x14ac:dyDescent="0.3">
      <c r="G49" s="28"/>
      <c r="H49" s="28"/>
      <c r="I49" s="28"/>
      <c r="J49" s="31"/>
    </row>
    <row r="50" spans="7:10" ht="18" customHeight="1" x14ac:dyDescent="0.3">
      <c r="G50" s="28"/>
      <c r="H50" s="28"/>
      <c r="I50" s="28"/>
      <c r="J50" s="31"/>
    </row>
    <row r="51" spans="7:10" ht="18" customHeight="1" x14ac:dyDescent="0.3">
      <c r="G51" s="28"/>
      <c r="H51" s="28"/>
      <c r="I51" s="28"/>
      <c r="J51" s="31"/>
    </row>
    <row r="52" spans="7:10" ht="18" customHeight="1" x14ac:dyDescent="0.3">
      <c r="G52" s="28"/>
      <c r="H52" s="28"/>
      <c r="I52" s="28"/>
      <c r="J52" s="31"/>
    </row>
    <row r="53" spans="7:10" ht="18" customHeight="1" x14ac:dyDescent="0.3">
      <c r="G53" s="28"/>
      <c r="H53" s="28"/>
      <c r="I53" s="28"/>
      <c r="J53" s="31"/>
    </row>
    <row r="54" spans="7:10" ht="18" customHeight="1" x14ac:dyDescent="0.3">
      <c r="G54" s="28"/>
      <c r="H54" s="28"/>
      <c r="I54" s="28"/>
      <c r="J54" s="31"/>
    </row>
    <row r="55" spans="7:10" ht="18" customHeight="1" x14ac:dyDescent="0.3">
      <c r="G55" s="28"/>
      <c r="H55" s="28"/>
      <c r="I55" s="28"/>
      <c r="J55" s="31"/>
    </row>
    <row r="56" spans="7:10" ht="18" customHeight="1" x14ac:dyDescent="0.3">
      <c r="G56" s="28"/>
      <c r="H56" s="28"/>
      <c r="I56" s="28"/>
      <c r="J56" s="31"/>
    </row>
    <row r="57" spans="7:10" ht="18" customHeight="1" x14ac:dyDescent="0.3">
      <c r="G57" s="28"/>
      <c r="H57" s="28"/>
      <c r="I57" s="28"/>
      <c r="J57" s="31"/>
    </row>
    <row r="58" spans="7:10" ht="18" customHeight="1" x14ac:dyDescent="0.3">
      <c r="G58" s="28"/>
      <c r="H58" s="28"/>
      <c r="I58" s="28"/>
      <c r="J58" s="31"/>
    </row>
    <row r="59" spans="7:10" ht="18" customHeight="1" x14ac:dyDescent="0.3">
      <c r="G59" s="28"/>
      <c r="H59" s="28"/>
      <c r="I59" s="28"/>
      <c r="J59" s="31"/>
    </row>
    <row r="60" spans="7:10" ht="18" customHeight="1" x14ac:dyDescent="0.3">
      <c r="G60" s="28"/>
      <c r="H60" s="28"/>
      <c r="I60" s="28"/>
      <c r="J60" s="31"/>
    </row>
    <row r="61" spans="7:10" ht="18" customHeight="1" x14ac:dyDescent="0.3">
      <c r="G61" s="28"/>
      <c r="H61" s="28"/>
      <c r="I61" s="28"/>
      <c r="J61" s="31"/>
    </row>
    <row r="62" spans="7:10" ht="18" customHeight="1" x14ac:dyDescent="0.3">
      <c r="G62" s="28"/>
      <c r="H62" s="28"/>
      <c r="I62" s="28"/>
      <c r="J62" s="31"/>
    </row>
    <row r="63" spans="7:10" ht="18" customHeight="1" x14ac:dyDescent="0.3">
      <c r="G63" s="28"/>
      <c r="H63" s="28"/>
      <c r="I63" s="28"/>
      <c r="J63" s="31"/>
    </row>
    <row r="64" spans="7:10" ht="18" customHeight="1" x14ac:dyDescent="0.3">
      <c r="G64" s="28"/>
      <c r="H64" s="28"/>
      <c r="I64" s="28"/>
      <c r="J64" s="31"/>
    </row>
    <row r="65" spans="7:10" ht="18" customHeight="1" x14ac:dyDescent="0.3">
      <c r="G65" s="28"/>
      <c r="H65" s="28"/>
      <c r="I65" s="28"/>
      <c r="J65" s="31"/>
    </row>
    <row r="66" spans="7:10" ht="18" customHeight="1" x14ac:dyDescent="0.3">
      <c r="G66" s="28"/>
      <c r="H66" s="28"/>
      <c r="I66" s="28"/>
      <c r="J66" s="31"/>
    </row>
    <row r="67" spans="7:10" ht="18" customHeight="1" x14ac:dyDescent="0.3">
      <c r="G67" s="28"/>
      <c r="H67" s="28"/>
      <c r="I67" s="28"/>
      <c r="J67" s="31"/>
    </row>
    <row r="68" spans="7:10" ht="18" customHeight="1" x14ac:dyDescent="0.3">
      <c r="G68" s="28"/>
      <c r="H68" s="28"/>
      <c r="I68" s="28"/>
      <c r="J68" s="31"/>
    </row>
    <row r="69" spans="7:10" ht="18" customHeight="1" x14ac:dyDescent="0.3">
      <c r="G69" s="28"/>
      <c r="H69" s="28"/>
      <c r="I69" s="28"/>
      <c r="J69" s="31"/>
    </row>
    <row r="70" spans="7:10" ht="18" customHeight="1" x14ac:dyDescent="0.3">
      <c r="G70" s="28"/>
      <c r="H70" s="28"/>
      <c r="I70" s="28"/>
      <c r="J70" s="31"/>
    </row>
    <row r="71" spans="7:10" ht="18" customHeight="1" x14ac:dyDescent="0.3">
      <c r="G71" s="28"/>
      <c r="H71" s="28"/>
      <c r="I71" s="28"/>
      <c r="J71" s="31"/>
    </row>
    <row r="72" spans="7:10" ht="18" customHeight="1" x14ac:dyDescent="0.3">
      <c r="G72" s="28"/>
      <c r="H72" s="28"/>
      <c r="I72" s="28"/>
      <c r="J72" s="31"/>
    </row>
    <row r="73" spans="7:10" ht="18" customHeight="1" x14ac:dyDescent="0.3">
      <c r="G73" s="28"/>
      <c r="H73" s="28"/>
      <c r="I73" s="28"/>
      <c r="J73" s="31"/>
    </row>
    <row r="74" spans="7:10" ht="18" customHeight="1" x14ac:dyDescent="0.3">
      <c r="G74" s="28"/>
      <c r="H74" s="28"/>
      <c r="I74" s="28"/>
      <c r="J74" s="31"/>
    </row>
    <row r="75" spans="7:10" ht="18" customHeight="1" x14ac:dyDescent="0.3">
      <c r="G75" s="28"/>
      <c r="H75" s="28"/>
      <c r="I75" s="28"/>
      <c r="J75" s="31"/>
    </row>
    <row r="76" spans="7:10" ht="18" customHeight="1" x14ac:dyDescent="0.3">
      <c r="G76" s="28"/>
      <c r="H76" s="28"/>
      <c r="I76" s="28"/>
      <c r="J76" s="31"/>
    </row>
    <row r="77" spans="7:10" ht="18" customHeight="1" x14ac:dyDescent="0.3">
      <c r="G77" s="28"/>
      <c r="H77" s="28"/>
      <c r="I77" s="28"/>
      <c r="J77" s="31"/>
    </row>
    <row r="78" spans="7:10" ht="18" customHeight="1" x14ac:dyDescent="0.3">
      <c r="G78" s="28"/>
      <c r="H78" s="28"/>
      <c r="I78" s="28"/>
      <c r="J78" s="31"/>
    </row>
    <row r="79" spans="7:10" ht="18" customHeight="1" x14ac:dyDescent="0.3">
      <c r="G79" s="28"/>
      <c r="H79" s="28"/>
      <c r="I79" s="28"/>
      <c r="J79" s="31"/>
    </row>
    <row r="80" spans="7:10" ht="18" customHeight="1" x14ac:dyDescent="0.3">
      <c r="G80" s="28"/>
      <c r="H80" s="28"/>
      <c r="I80" s="28"/>
      <c r="J80" s="31"/>
    </row>
    <row r="81" spans="7:10" ht="18" customHeight="1" x14ac:dyDescent="0.3">
      <c r="G81" s="28"/>
      <c r="H81" s="28"/>
      <c r="I81" s="28"/>
      <c r="J81" s="31"/>
    </row>
    <row r="82" spans="7:10" ht="18" customHeight="1" x14ac:dyDescent="0.3">
      <c r="G82" s="28"/>
      <c r="H82" s="28"/>
      <c r="I82" s="28"/>
      <c r="J82" s="31"/>
    </row>
    <row r="83" spans="7:10" ht="18" customHeight="1" x14ac:dyDescent="0.3">
      <c r="G83" s="28"/>
      <c r="H83" s="28"/>
      <c r="I83" s="28"/>
      <c r="J83" s="31"/>
    </row>
    <row r="84" spans="7:10" ht="18" customHeight="1" x14ac:dyDescent="0.3">
      <c r="G84" s="28"/>
      <c r="H84" s="28"/>
      <c r="I84" s="28"/>
      <c r="J84" s="31"/>
    </row>
    <row r="85" spans="7:10" ht="18" customHeight="1" x14ac:dyDescent="0.3">
      <c r="G85" s="28"/>
      <c r="H85" s="28"/>
      <c r="I85" s="28"/>
      <c r="J85" s="31"/>
    </row>
    <row r="86" spans="7:10" ht="18" customHeight="1" x14ac:dyDescent="0.3">
      <c r="G86" s="28"/>
      <c r="H86" s="28"/>
      <c r="I86" s="28"/>
      <c r="J86" s="31"/>
    </row>
    <row r="87" spans="7:10" ht="18" customHeight="1" x14ac:dyDescent="0.3">
      <c r="G87" s="28"/>
      <c r="H87" s="28"/>
      <c r="I87" s="28"/>
      <c r="J87" s="31"/>
    </row>
    <row r="88" spans="7:10" ht="18" customHeight="1" x14ac:dyDescent="0.3">
      <c r="G88" s="28"/>
      <c r="H88" s="28"/>
      <c r="I88" s="28"/>
      <c r="J88" s="31"/>
    </row>
    <row r="89" spans="7:10" ht="18" customHeight="1" x14ac:dyDescent="0.3">
      <c r="G89" s="28"/>
      <c r="H89" s="28"/>
      <c r="I89" s="28"/>
      <c r="J89" s="31"/>
    </row>
    <row r="90" spans="7:10" ht="18" customHeight="1" x14ac:dyDescent="0.3">
      <c r="G90" s="28"/>
      <c r="H90" s="28"/>
      <c r="I90" s="28"/>
      <c r="J90" s="31"/>
    </row>
    <row r="91" spans="7:10" ht="18" customHeight="1" x14ac:dyDescent="0.3">
      <c r="G91" s="28"/>
      <c r="H91" s="28"/>
      <c r="I91" s="28"/>
      <c r="J91" s="31"/>
    </row>
    <row r="92" spans="7:10" ht="18" customHeight="1" x14ac:dyDescent="0.3">
      <c r="G92" s="28"/>
      <c r="H92" s="28"/>
      <c r="I92" s="28"/>
      <c r="J92" s="31"/>
    </row>
    <row r="93" spans="7:10" ht="18" customHeight="1" x14ac:dyDescent="0.3">
      <c r="G93" s="28"/>
      <c r="H93" s="28"/>
      <c r="I93" s="28"/>
      <c r="J93" s="31"/>
    </row>
    <row r="94" spans="7:10" ht="18" customHeight="1" x14ac:dyDescent="0.3">
      <c r="G94" s="28"/>
      <c r="H94" s="28"/>
      <c r="I94" s="28"/>
      <c r="J94" s="31"/>
    </row>
    <row r="95" spans="7:10" ht="18" customHeight="1" x14ac:dyDescent="0.3">
      <c r="G95" s="28"/>
      <c r="H95" s="28"/>
      <c r="I95" s="28"/>
      <c r="J95" s="31"/>
    </row>
    <row r="96" spans="7:10" ht="18" customHeight="1" x14ac:dyDescent="0.3">
      <c r="G96" s="28"/>
      <c r="H96" s="28"/>
      <c r="I96" s="28"/>
      <c r="J96" s="31"/>
    </row>
    <row r="97" spans="7:10" ht="18" customHeight="1" x14ac:dyDescent="0.3">
      <c r="G97" s="28"/>
      <c r="H97" s="28"/>
      <c r="I97" s="28"/>
      <c r="J97" s="31"/>
    </row>
    <row r="98" spans="7:10" ht="18" customHeight="1" x14ac:dyDescent="0.3">
      <c r="G98" s="28"/>
      <c r="H98" s="28"/>
      <c r="I98" s="28"/>
      <c r="J98" s="31"/>
    </row>
    <row r="99" spans="7:10" ht="18" customHeight="1" x14ac:dyDescent="0.3">
      <c r="G99" s="28"/>
      <c r="H99" s="28"/>
      <c r="I99" s="28"/>
      <c r="J99" s="31"/>
    </row>
    <row r="100" spans="7:10" ht="18" customHeight="1" x14ac:dyDescent="0.3">
      <c r="G100" s="28"/>
      <c r="H100" s="28"/>
      <c r="I100" s="28"/>
      <c r="J100" s="31"/>
    </row>
    <row r="101" spans="7:10" ht="18" customHeight="1" x14ac:dyDescent="0.3">
      <c r="G101" s="28"/>
      <c r="H101" s="28"/>
      <c r="I101" s="28"/>
      <c r="J101" s="31"/>
    </row>
    <row r="102" spans="7:10" ht="18" customHeight="1" x14ac:dyDescent="0.3">
      <c r="G102" s="28"/>
      <c r="H102" s="28"/>
      <c r="I102" s="28"/>
      <c r="J102" s="31"/>
    </row>
    <row r="103" spans="7:10" ht="18" customHeight="1" x14ac:dyDescent="0.3">
      <c r="G103" s="28"/>
      <c r="H103" s="28"/>
      <c r="I103" s="28"/>
      <c r="J103" s="31"/>
    </row>
    <row r="104" spans="7:10" ht="18" customHeight="1" x14ac:dyDescent="0.3">
      <c r="G104" s="28"/>
      <c r="H104" s="28"/>
      <c r="I104" s="28"/>
      <c r="J104" s="31"/>
    </row>
    <row r="105" spans="7:10" ht="18" customHeight="1" x14ac:dyDescent="0.3">
      <c r="G105" s="28"/>
      <c r="H105" s="28"/>
      <c r="I105" s="28"/>
      <c r="J105" s="31"/>
    </row>
    <row r="106" spans="7:10" ht="18" customHeight="1" x14ac:dyDescent="0.3">
      <c r="G106" s="28"/>
      <c r="H106" s="28"/>
      <c r="I106" s="28"/>
      <c r="J106" s="31"/>
    </row>
    <row r="107" spans="7:10" ht="18" customHeight="1" x14ac:dyDescent="0.3">
      <c r="G107" s="28"/>
      <c r="H107" s="28"/>
      <c r="I107" s="28"/>
      <c r="J107" s="31"/>
    </row>
    <row r="108" spans="7:10" ht="18" customHeight="1" x14ac:dyDescent="0.3">
      <c r="G108" s="28"/>
      <c r="H108" s="28"/>
      <c r="I108" s="28"/>
      <c r="J108" s="31"/>
    </row>
    <row r="109" spans="7:10" ht="18" customHeight="1" x14ac:dyDescent="0.3">
      <c r="G109" s="28"/>
      <c r="H109" s="28"/>
      <c r="I109" s="28"/>
      <c r="J109" s="31"/>
    </row>
    <row r="110" spans="7:10" ht="18" customHeight="1" x14ac:dyDescent="0.3">
      <c r="G110" s="28"/>
      <c r="H110" s="28"/>
      <c r="I110" s="28"/>
      <c r="J110" s="31"/>
    </row>
    <row r="111" spans="7:10" ht="18" customHeight="1" x14ac:dyDescent="0.3">
      <c r="G111" s="28"/>
      <c r="H111" s="28"/>
      <c r="I111" s="28"/>
      <c r="J111" s="31"/>
    </row>
    <row r="112" spans="7:10" ht="18" customHeight="1" x14ac:dyDescent="0.3">
      <c r="G112" s="28"/>
      <c r="H112" s="28"/>
      <c r="I112" s="28"/>
      <c r="J112" s="31"/>
    </row>
    <row r="113" spans="7:10" ht="18" customHeight="1" x14ac:dyDescent="0.3">
      <c r="G113" s="28"/>
      <c r="H113" s="28"/>
      <c r="I113" s="28"/>
      <c r="J113" s="31"/>
    </row>
    <row r="114" spans="7:10" ht="18" customHeight="1" x14ac:dyDescent="0.3">
      <c r="G114" s="28"/>
      <c r="H114" s="28"/>
      <c r="I114" s="28"/>
      <c r="J114" s="31"/>
    </row>
    <row r="115" spans="7:10" ht="18" customHeight="1" x14ac:dyDescent="0.3">
      <c r="G115" s="28"/>
      <c r="H115" s="28"/>
      <c r="I115" s="28"/>
      <c r="J115" s="31"/>
    </row>
    <row r="116" spans="7:10" ht="18" customHeight="1" x14ac:dyDescent="0.3">
      <c r="G116" s="28"/>
      <c r="H116" s="28"/>
      <c r="I116" s="28"/>
      <c r="J116" s="31"/>
    </row>
    <row r="117" spans="7:10" ht="18" customHeight="1" x14ac:dyDescent="0.3">
      <c r="G117" s="28"/>
      <c r="H117" s="28"/>
      <c r="I117" s="28"/>
      <c r="J117" s="31"/>
    </row>
    <row r="118" spans="7:10" ht="18" customHeight="1" x14ac:dyDescent="0.3">
      <c r="G118" s="28"/>
      <c r="H118" s="28"/>
      <c r="I118" s="28"/>
      <c r="J118" s="31"/>
    </row>
    <row r="119" spans="7:10" ht="18" customHeight="1" x14ac:dyDescent="0.3">
      <c r="G119" s="28"/>
      <c r="H119" s="28"/>
      <c r="I119" s="28"/>
      <c r="J119" s="31"/>
    </row>
    <row r="120" spans="7:10" ht="18" customHeight="1" x14ac:dyDescent="0.3">
      <c r="G120" s="28"/>
      <c r="H120" s="28"/>
      <c r="I120" s="28"/>
      <c r="J120" s="31"/>
    </row>
    <row r="121" spans="7:10" ht="18" customHeight="1" x14ac:dyDescent="0.3">
      <c r="G121" s="28"/>
      <c r="H121" s="28"/>
      <c r="I121" s="28"/>
      <c r="J121" s="31"/>
    </row>
    <row r="122" spans="7:10" ht="18" customHeight="1" x14ac:dyDescent="0.3">
      <c r="G122" s="28"/>
      <c r="H122" s="28"/>
      <c r="I122" s="28"/>
      <c r="J122" s="31"/>
    </row>
    <row r="123" spans="7:10" ht="18" customHeight="1" x14ac:dyDescent="0.3">
      <c r="G123" s="28"/>
      <c r="H123" s="28"/>
      <c r="I123" s="28"/>
      <c r="J123" s="31"/>
    </row>
    <row r="124" spans="7:10" ht="18" customHeight="1" x14ac:dyDescent="0.3">
      <c r="G124" s="28"/>
      <c r="H124" s="28"/>
      <c r="I124" s="28"/>
      <c r="J124" s="31"/>
    </row>
    <row r="125" spans="7:10" ht="18" customHeight="1" x14ac:dyDescent="0.3">
      <c r="G125" s="28"/>
      <c r="H125" s="28"/>
      <c r="I125" s="28"/>
      <c r="J125" s="31"/>
    </row>
    <row r="126" spans="7:10" ht="18" customHeight="1" x14ac:dyDescent="0.3">
      <c r="G126" s="28"/>
      <c r="H126" s="28"/>
      <c r="I126" s="28"/>
      <c r="J126" s="31"/>
    </row>
    <row r="127" spans="7:10" ht="18" customHeight="1" x14ac:dyDescent="0.3">
      <c r="G127" s="28"/>
      <c r="H127" s="28"/>
      <c r="I127" s="28"/>
      <c r="J127" s="31"/>
    </row>
    <row r="128" spans="7:10" ht="18" customHeight="1" x14ac:dyDescent="0.3">
      <c r="G128" s="28"/>
      <c r="H128" s="28"/>
      <c r="I128" s="28"/>
      <c r="J128" s="31"/>
    </row>
    <row r="129" spans="7:10" ht="18" customHeight="1" x14ac:dyDescent="0.3">
      <c r="G129" s="28"/>
      <c r="H129" s="28"/>
      <c r="I129" s="28"/>
      <c r="J129" s="31"/>
    </row>
    <row r="130" spans="7:10" ht="18" customHeight="1" x14ac:dyDescent="0.3">
      <c r="G130" s="28"/>
      <c r="H130" s="28"/>
      <c r="I130" s="28"/>
      <c r="J130" s="31"/>
    </row>
    <row r="131" spans="7:10" ht="18" customHeight="1" x14ac:dyDescent="0.3">
      <c r="G131" s="28"/>
      <c r="H131" s="28"/>
      <c r="I131" s="28"/>
      <c r="J131" s="31"/>
    </row>
    <row r="132" spans="7:10" ht="18" customHeight="1" x14ac:dyDescent="0.3">
      <c r="G132" s="28"/>
      <c r="H132" s="28"/>
      <c r="I132" s="28"/>
      <c r="J132" s="31"/>
    </row>
    <row r="133" spans="7:10" ht="18" customHeight="1" x14ac:dyDescent="0.3">
      <c r="G133" s="28"/>
      <c r="H133" s="28"/>
      <c r="I133" s="28"/>
      <c r="J133" s="31"/>
    </row>
    <row r="134" spans="7:10" ht="18" customHeight="1" x14ac:dyDescent="0.3">
      <c r="G134" s="28"/>
      <c r="H134" s="28"/>
      <c r="I134" s="28"/>
      <c r="J134" s="31"/>
    </row>
    <row r="135" spans="7:10" ht="18" customHeight="1" x14ac:dyDescent="0.3">
      <c r="G135" s="28"/>
      <c r="H135" s="28"/>
      <c r="I135" s="28"/>
      <c r="J135" s="31"/>
    </row>
    <row r="136" spans="7:10" ht="18" customHeight="1" x14ac:dyDescent="0.3">
      <c r="G136" s="28"/>
      <c r="H136" s="28"/>
      <c r="I136" s="28"/>
      <c r="J136" s="31"/>
    </row>
    <row r="137" spans="7:10" ht="18" customHeight="1" x14ac:dyDescent="0.3">
      <c r="G137" s="28"/>
      <c r="H137" s="28"/>
      <c r="I137" s="28"/>
      <c r="J137" s="31"/>
    </row>
    <row r="138" spans="7:10" ht="18" customHeight="1" x14ac:dyDescent="0.3">
      <c r="G138" s="28"/>
      <c r="H138" s="28"/>
      <c r="I138" s="28"/>
      <c r="J138" s="31"/>
    </row>
    <row r="139" spans="7:10" ht="18" customHeight="1" x14ac:dyDescent="0.3">
      <c r="G139" s="28"/>
      <c r="H139" s="28"/>
      <c r="I139" s="28"/>
      <c r="J139" s="31"/>
    </row>
    <row r="140" spans="7:10" ht="18" customHeight="1" x14ac:dyDescent="0.3">
      <c r="G140" s="28"/>
      <c r="H140" s="28"/>
      <c r="I140" s="28"/>
      <c r="J140" s="31"/>
    </row>
    <row r="141" spans="7:10" ht="18" customHeight="1" x14ac:dyDescent="0.3">
      <c r="G141" s="28"/>
      <c r="H141" s="28"/>
      <c r="I141" s="28"/>
      <c r="J141" s="31"/>
    </row>
    <row r="142" spans="7:10" ht="18" customHeight="1" x14ac:dyDescent="0.3">
      <c r="G142" s="28"/>
      <c r="H142" s="28"/>
      <c r="I142" s="28"/>
      <c r="J142" s="31"/>
    </row>
    <row r="143" spans="7:10" ht="18" customHeight="1" x14ac:dyDescent="0.3">
      <c r="G143" s="28"/>
      <c r="H143" s="28"/>
      <c r="I143" s="28"/>
      <c r="J143" s="31"/>
    </row>
    <row r="144" spans="7:10" ht="18" customHeight="1" x14ac:dyDescent="0.3">
      <c r="G144" s="28"/>
      <c r="H144" s="28"/>
      <c r="I144" s="28"/>
      <c r="J144" s="31"/>
    </row>
    <row r="145" spans="7:10" ht="18" customHeight="1" x14ac:dyDescent="0.3">
      <c r="G145" s="28"/>
      <c r="H145" s="28"/>
      <c r="I145" s="28"/>
      <c r="J145" s="31"/>
    </row>
    <row r="146" spans="7:10" ht="18" customHeight="1" x14ac:dyDescent="0.3">
      <c r="G146" s="28"/>
      <c r="H146" s="28"/>
      <c r="I146" s="28"/>
      <c r="J146" s="31"/>
    </row>
    <row r="147" spans="7:10" ht="18" customHeight="1" x14ac:dyDescent="0.3">
      <c r="G147" s="28"/>
      <c r="H147" s="28"/>
      <c r="I147" s="28"/>
      <c r="J147" s="31"/>
    </row>
    <row r="148" spans="7:10" ht="18" customHeight="1" x14ac:dyDescent="0.3">
      <c r="G148" s="28"/>
      <c r="H148" s="28"/>
      <c r="I148" s="28"/>
      <c r="J148" s="31"/>
    </row>
    <row r="149" spans="7:10" ht="18" customHeight="1" x14ac:dyDescent="0.3">
      <c r="G149" s="28"/>
      <c r="H149" s="28"/>
      <c r="I149" s="28"/>
      <c r="J149" s="31"/>
    </row>
    <row r="150" spans="7:10" ht="18" customHeight="1" x14ac:dyDescent="0.3">
      <c r="G150" s="28"/>
      <c r="H150" s="28"/>
      <c r="I150" s="28"/>
      <c r="J150" s="31"/>
    </row>
    <row r="151" spans="7:10" ht="18" customHeight="1" x14ac:dyDescent="0.3">
      <c r="G151" s="28"/>
      <c r="H151" s="28"/>
      <c r="I151" s="28"/>
      <c r="J151" s="31"/>
    </row>
    <row r="152" spans="7:10" ht="18" customHeight="1" x14ac:dyDescent="0.3">
      <c r="G152" s="28"/>
      <c r="H152" s="28"/>
      <c r="I152" s="28"/>
      <c r="J152" s="31"/>
    </row>
    <row r="153" spans="7:10" ht="18" customHeight="1" x14ac:dyDescent="0.3">
      <c r="G153" s="28"/>
      <c r="H153" s="28"/>
      <c r="I153" s="28"/>
      <c r="J153" s="31"/>
    </row>
    <row r="154" spans="7:10" ht="18" customHeight="1" x14ac:dyDescent="0.3">
      <c r="G154" s="28"/>
      <c r="H154" s="28"/>
      <c r="I154" s="28"/>
      <c r="J154" s="31"/>
    </row>
    <row r="155" spans="7:10" ht="18" customHeight="1" x14ac:dyDescent="0.3">
      <c r="G155" s="28"/>
      <c r="H155" s="28"/>
      <c r="I155" s="28"/>
      <c r="J155" s="31"/>
    </row>
    <row r="156" spans="7:10" ht="18" customHeight="1" x14ac:dyDescent="0.3">
      <c r="G156" s="28"/>
      <c r="H156" s="28"/>
      <c r="I156" s="28"/>
      <c r="J156" s="31"/>
    </row>
    <row r="157" spans="7:10" ht="18" customHeight="1" x14ac:dyDescent="0.3">
      <c r="G157" s="28"/>
      <c r="H157" s="28"/>
      <c r="I157" s="28"/>
      <c r="J157" s="31"/>
    </row>
    <row r="158" spans="7:10" ht="18" customHeight="1" x14ac:dyDescent="0.3">
      <c r="G158" s="28"/>
      <c r="H158" s="28"/>
      <c r="I158" s="28"/>
      <c r="J158" s="31"/>
    </row>
    <row r="159" spans="7:10" ht="18" customHeight="1" x14ac:dyDescent="0.3">
      <c r="G159" s="28"/>
      <c r="H159" s="28"/>
      <c r="I159" s="28"/>
      <c r="J159" s="31"/>
    </row>
    <row r="160" spans="7:10" ht="18" customHeight="1" x14ac:dyDescent="0.3">
      <c r="G160" s="28"/>
      <c r="H160" s="28"/>
      <c r="I160" s="28"/>
      <c r="J160" s="31"/>
    </row>
    <row r="161" spans="7:10" ht="18" customHeight="1" x14ac:dyDescent="0.3">
      <c r="G161" s="28"/>
      <c r="H161" s="28"/>
      <c r="I161" s="28"/>
      <c r="J161" s="31"/>
    </row>
    <row r="162" spans="7:10" ht="18" customHeight="1" x14ac:dyDescent="0.3">
      <c r="G162" s="28"/>
      <c r="H162" s="28"/>
      <c r="I162" s="28"/>
      <c r="J162" s="31"/>
    </row>
    <row r="163" spans="7:10" ht="18" customHeight="1" x14ac:dyDescent="0.3">
      <c r="G163" s="28"/>
      <c r="H163" s="28"/>
      <c r="I163" s="28"/>
      <c r="J163" s="31"/>
    </row>
    <row r="164" spans="7:10" ht="18" customHeight="1" x14ac:dyDescent="0.3">
      <c r="G164" s="28"/>
      <c r="H164" s="28"/>
      <c r="I164" s="28"/>
      <c r="J164" s="31"/>
    </row>
    <row r="165" spans="7:10" ht="18" customHeight="1" x14ac:dyDescent="0.3">
      <c r="G165" s="28"/>
      <c r="H165" s="28"/>
      <c r="I165" s="28"/>
      <c r="J165" s="31"/>
    </row>
    <row r="166" spans="7:10" ht="18" customHeight="1" x14ac:dyDescent="0.3">
      <c r="G166" s="28"/>
      <c r="H166" s="28"/>
      <c r="I166" s="28"/>
      <c r="J166" s="31"/>
    </row>
    <row r="167" spans="7:10" ht="18" customHeight="1" x14ac:dyDescent="0.3">
      <c r="G167" s="28"/>
      <c r="H167" s="28"/>
      <c r="I167" s="28"/>
      <c r="J167" s="31"/>
    </row>
    <row r="168" spans="7:10" ht="18" customHeight="1" x14ac:dyDescent="0.3">
      <c r="G168" s="28"/>
      <c r="H168" s="28"/>
      <c r="I168" s="28"/>
      <c r="J168" s="31"/>
    </row>
    <row r="169" spans="7:10" ht="18" customHeight="1" x14ac:dyDescent="0.3">
      <c r="G169" s="28"/>
      <c r="H169" s="28"/>
      <c r="I169" s="28"/>
      <c r="J169" s="31"/>
    </row>
    <row r="170" spans="7:10" ht="18" customHeight="1" x14ac:dyDescent="0.3">
      <c r="G170" s="28"/>
      <c r="H170" s="28"/>
      <c r="I170" s="28"/>
      <c r="J170" s="31"/>
    </row>
    <row r="171" spans="7:10" ht="18" customHeight="1" x14ac:dyDescent="0.3">
      <c r="G171" s="28"/>
      <c r="H171" s="28"/>
      <c r="I171" s="28"/>
      <c r="J171" s="31"/>
    </row>
    <row r="172" spans="7:10" ht="18" customHeight="1" x14ac:dyDescent="0.3">
      <c r="G172" s="28"/>
      <c r="H172" s="28"/>
      <c r="I172" s="28"/>
      <c r="J172" s="31"/>
    </row>
    <row r="173" spans="7:10" ht="18" customHeight="1" x14ac:dyDescent="0.3">
      <c r="G173" s="28"/>
      <c r="H173" s="28"/>
      <c r="I173" s="28"/>
      <c r="J173" s="31"/>
    </row>
    <row r="174" spans="7:10" ht="18" customHeight="1" x14ac:dyDescent="0.3">
      <c r="G174" s="28"/>
      <c r="H174" s="28"/>
      <c r="I174" s="28"/>
      <c r="J174" s="31"/>
    </row>
    <row r="175" spans="7:10" ht="18" customHeight="1" x14ac:dyDescent="0.3">
      <c r="G175" s="28"/>
      <c r="H175" s="28"/>
      <c r="I175" s="28"/>
      <c r="J175" s="31"/>
    </row>
    <row r="176" spans="7:10" ht="18" customHeight="1" x14ac:dyDescent="0.3">
      <c r="G176" s="28"/>
      <c r="H176" s="28"/>
      <c r="I176" s="28"/>
      <c r="J176" s="31"/>
    </row>
    <row r="177" spans="7:10" ht="18" customHeight="1" x14ac:dyDescent="0.3">
      <c r="G177" s="28"/>
      <c r="H177" s="28"/>
      <c r="I177" s="28"/>
      <c r="J177" s="31"/>
    </row>
    <row r="178" spans="7:10" ht="18" customHeight="1" x14ac:dyDescent="0.3">
      <c r="G178" s="28"/>
      <c r="H178" s="28"/>
      <c r="I178" s="28"/>
      <c r="J178" s="31"/>
    </row>
    <row r="179" spans="7:10" ht="18" customHeight="1" x14ac:dyDescent="0.3">
      <c r="G179" s="28"/>
      <c r="H179" s="28"/>
      <c r="I179" s="28"/>
      <c r="J179" s="31"/>
    </row>
    <row r="180" spans="7:10" ht="18" customHeight="1" x14ac:dyDescent="0.3">
      <c r="G180" s="28"/>
      <c r="H180" s="28"/>
      <c r="I180" s="28"/>
      <c r="J180" s="31"/>
    </row>
    <row r="181" spans="7:10" ht="18" customHeight="1" x14ac:dyDescent="0.3">
      <c r="G181" s="28"/>
      <c r="H181" s="28"/>
      <c r="I181" s="28"/>
      <c r="J181" s="31"/>
    </row>
    <row r="182" spans="7:10" ht="18" customHeight="1" x14ac:dyDescent="0.3">
      <c r="G182" s="28"/>
      <c r="H182" s="28"/>
      <c r="I182" s="28"/>
      <c r="J182" s="31"/>
    </row>
    <row r="183" spans="7:10" ht="18" customHeight="1" x14ac:dyDescent="0.3">
      <c r="G183" s="28"/>
      <c r="H183" s="28"/>
      <c r="I183" s="28"/>
      <c r="J183" s="31"/>
    </row>
    <row r="184" spans="7:10" ht="18" customHeight="1" x14ac:dyDescent="0.3">
      <c r="G184" s="28"/>
      <c r="H184" s="28"/>
      <c r="I184" s="28"/>
      <c r="J184" s="31"/>
    </row>
    <row r="185" spans="7:10" ht="18" customHeight="1" x14ac:dyDescent="0.3">
      <c r="G185" s="28"/>
      <c r="H185" s="28"/>
      <c r="I185" s="28"/>
      <c r="J185" s="31"/>
    </row>
    <row r="186" spans="7:10" ht="18" customHeight="1" x14ac:dyDescent="0.3">
      <c r="G186" s="28"/>
      <c r="H186" s="28"/>
      <c r="I186" s="28"/>
      <c r="J186" s="31"/>
    </row>
    <row r="187" spans="7:10" ht="18" customHeight="1" x14ac:dyDescent="0.3">
      <c r="G187" s="28"/>
      <c r="H187" s="28"/>
      <c r="I187" s="28"/>
      <c r="J187" s="31"/>
    </row>
    <row r="188" spans="7:10" ht="18" customHeight="1" x14ac:dyDescent="0.3">
      <c r="G188" s="28"/>
      <c r="H188" s="28"/>
      <c r="I188" s="28"/>
      <c r="J188" s="31"/>
    </row>
    <row r="189" spans="7:10" ht="18" customHeight="1" x14ac:dyDescent="0.3">
      <c r="G189" s="28"/>
      <c r="H189" s="28"/>
      <c r="I189" s="28"/>
      <c r="J189" s="31"/>
    </row>
    <row r="190" spans="7:10" ht="18" customHeight="1" x14ac:dyDescent="0.3">
      <c r="G190" s="28"/>
      <c r="H190" s="28"/>
      <c r="I190" s="28"/>
      <c r="J190" s="31"/>
    </row>
    <row r="191" spans="7:10" ht="18" customHeight="1" x14ac:dyDescent="0.3">
      <c r="G191" s="28"/>
      <c r="H191" s="28"/>
      <c r="I191" s="28"/>
      <c r="J191" s="31"/>
    </row>
    <row r="192" spans="7:10" ht="18" customHeight="1" x14ac:dyDescent="0.3">
      <c r="G192" s="28"/>
      <c r="H192" s="28"/>
      <c r="I192" s="28"/>
      <c r="J192" s="31"/>
    </row>
    <row r="193" spans="7:10" ht="18" customHeight="1" x14ac:dyDescent="0.3">
      <c r="G193" s="28"/>
      <c r="H193" s="28"/>
      <c r="I193" s="28"/>
      <c r="J193" s="31"/>
    </row>
    <row r="194" spans="7:10" ht="18" customHeight="1" x14ac:dyDescent="0.3">
      <c r="G194" s="28"/>
      <c r="H194" s="28"/>
      <c r="I194" s="28"/>
      <c r="J194" s="31"/>
    </row>
    <row r="195" spans="7:10" ht="18" customHeight="1" x14ac:dyDescent="0.3">
      <c r="G195" s="28"/>
      <c r="H195" s="28"/>
      <c r="I195" s="28"/>
      <c r="J195" s="31"/>
    </row>
    <row r="196" spans="7:10" ht="18" customHeight="1" x14ac:dyDescent="0.3">
      <c r="G196" s="28"/>
      <c r="H196" s="28"/>
      <c r="I196" s="28"/>
      <c r="J196" s="31"/>
    </row>
    <row r="197" spans="7:10" ht="18" customHeight="1" x14ac:dyDescent="0.3">
      <c r="G197" s="28"/>
      <c r="H197" s="28"/>
      <c r="I197" s="28"/>
      <c r="J197" s="31"/>
    </row>
    <row r="198" spans="7:10" ht="18" customHeight="1" x14ac:dyDescent="0.3">
      <c r="G198" s="28"/>
      <c r="H198" s="28"/>
      <c r="I198" s="28"/>
      <c r="J198" s="31"/>
    </row>
    <row r="199" spans="7:10" ht="18" customHeight="1" x14ac:dyDescent="0.3">
      <c r="G199" s="28"/>
      <c r="H199" s="28"/>
      <c r="I199" s="28"/>
      <c r="J199" s="31"/>
    </row>
    <row r="200" spans="7:10" ht="18" customHeight="1" x14ac:dyDescent="0.3">
      <c r="G200" s="28"/>
      <c r="H200" s="28"/>
      <c r="I200" s="28"/>
      <c r="J200" s="31"/>
    </row>
    <row r="201" spans="7:10" ht="18" customHeight="1" x14ac:dyDescent="0.3">
      <c r="G201" s="28"/>
      <c r="H201" s="28"/>
      <c r="I201" s="28"/>
      <c r="J201" s="31"/>
    </row>
    <row r="202" spans="7:10" ht="18" customHeight="1" x14ac:dyDescent="0.3">
      <c r="G202" s="28"/>
      <c r="H202" s="28"/>
      <c r="I202" s="28"/>
      <c r="J202" s="31"/>
    </row>
    <row r="203" spans="7:10" ht="18" customHeight="1" x14ac:dyDescent="0.3">
      <c r="G203" s="28"/>
      <c r="H203" s="28"/>
      <c r="I203" s="28"/>
      <c r="J203" s="31"/>
    </row>
    <row r="204" spans="7:10" ht="18" customHeight="1" x14ac:dyDescent="0.3">
      <c r="G204" s="28"/>
      <c r="H204" s="28"/>
      <c r="I204" s="28"/>
      <c r="J204" s="31"/>
    </row>
    <row r="205" spans="7:10" ht="18" customHeight="1" x14ac:dyDescent="0.3">
      <c r="G205" s="28"/>
      <c r="H205" s="28"/>
      <c r="I205" s="28"/>
      <c r="J205" s="31"/>
    </row>
    <row r="206" spans="7:10" ht="18" customHeight="1" x14ac:dyDescent="0.3">
      <c r="G206" s="28"/>
      <c r="H206" s="28"/>
      <c r="I206" s="28"/>
      <c r="J206" s="31"/>
    </row>
    <row r="207" spans="7:10" ht="18" customHeight="1" x14ac:dyDescent="0.3">
      <c r="G207" s="28"/>
      <c r="H207" s="28"/>
      <c r="I207" s="28"/>
      <c r="J207" s="31"/>
    </row>
    <row r="208" spans="7:10" ht="18" customHeight="1" x14ac:dyDescent="0.3">
      <c r="G208" s="28"/>
      <c r="H208" s="28"/>
      <c r="I208" s="28"/>
      <c r="J208" s="31"/>
    </row>
    <row r="209" spans="7:10" ht="18" customHeight="1" x14ac:dyDescent="0.3">
      <c r="G209" s="28"/>
      <c r="H209" s="28"/>
      <c r="I209" s="28"/>
      <c r="J209" s="31"/>
    </row>
    <row r="210" spans="7:10" ht="18" customHeight="1" x14ac:dyDescent="0.3">
      <c r="G210" s="28"/>
      <c r="H210" s="28"/>
      <c r="I210" s="28"/>
      <c r="J210" s="31"/>
    </row>
    <row r="211" spans="7:10" ht="18" customHeight="1" x14ac:dyDescent="0.3">
      <c r="G211" s="28"/>
      <c r="H211" s="28"/>
      <c r="I211" s="28"/>
      <c r="J211" s="31"/>
    </row>
    <row r="212" spans="7:10" ht="18" customHeight="1" x14ac:dyDescent="0.3">
      <c r="G212" s="28"/>
      <c r="H212" s="28"/>
      <c r="I212" s="28"/>
      <c r="J212" s="31"/>
    </row>
    <row r="213" spans="7:10" ht="18" customHeight="1" x14ac:dyDescent="0.3">
      <c r="G213" s="28"/>
      <c r="H213" s="28"/>
      <c r="I213" s="28"/>
      <c r="J213" s="31"/>
    </row>
    <row r="214" spans="7:10" ht="18" customHeight="1" x14ac:dyDescent="0.3">
      <c r="G214" s="28"/>
      <c r="H214" s="28"/>
      <c r="I214" s="28"/>
      <c r="J214" s="31"/>
    </row>
    <row r="215" spans="7:10" ht="18" customHeight="1" x14ac:dyDescent="0.3">
      <c r="G215" s="28"/>
      <c r="H215" s="28"/>
      <c r="I215" s="28"/>
      <c r="J215" s="31"/>
    </row>
    <row r="216" spans="7:10" ht="18" customHeight="1" x14ac:dyDescent="0.3">
      <c r="G216" s="28"/>
      <c r="H216" s="28"/>
      <c r="I216" s="28"/>
      <c r="J216" s="31"/>
    </row>
    <row r="217" spans="7:10" ht="18" customHeight="1" x14ac:dyDescent="0.3">
      <c r="G217" s="28"/>
      <c r="H217" s="28"/>
      <c r="I217" s="28"/>
      <c r="J217" s="31"/>
    </row>
    <row r="218" spans="7:10" ht="18" customHeight="1" x14ac:dyDescent="0.3">
      <c r="G218" s="28"/>
      <c r="H218" s="28"/>
      <c r="I218" s="28"/>
      <c r="J218" s="31"/>
    </row>
    <row r="219" spans="7:10" ht="18" customHeight="1" x14ac:dyDescent="0.3">
      <c r="G219" s="28"/>
      <c r="H219" s="28"/>
      <c r="I219" s="28"/>
      <c r="J219" s="31"/>
    </row>
    <row r="220" spans="7:10" ht="18" customHeight="1" x14ac:dyDescent="0.3">
      <c r="G220" s="28"/>
      <c r="H220" s="28"/>
      <c r="I220" s="28"/>
      <c r="J220" s="31"/>
    </row>
    <row r="221" spans="7:10" ht="18" customHeight="1" x14ac:dyDescent="0.3">
      <c r="G221" s="28"/>
      <c r="H221" s="28"/>
      <c r="I221" s="28"/>
      <c r="J221" s="31"/>
    </row>
    <row r="222" spans="7:10" ht="18" customHeight="1" x14ac:dyDescent="0.3">
      <c r="G222" s="28"/>
      <c r="H222" s="28"/>
      <c r="I222" s="28"/>
      <c r="J222" s="31"/>
    </row>
    <row r="223" spans="7:10" ht="18" customHeight="1" x14ac:dyDescent="0.3">
      <c r="G223" s="28"/>
      <c r="H223" s="28"/>
      <c r="I223" s="28"/>
      <c r="J223" s="31"/>
    </row>
    <row r="224" spans="7:10" ht="18" customHeight="1" x14ac:dyDescent="0.3">
      <c r="G224" s="28"/>
      <c r="H224" s="28"/>
      <c r="I224" s="28"/>
      <c r="J224" s="31"/>
    </row>
    <row r="225" spans="7:10" ht="18" customHeight="1" x14ac:dyDescent="0.3">
      <c r="G225" s="28"/>
      <c r="H225" s="28"/>
      <c r="I225" s="28"/>
      <c r="J225" s="31"/>
    </row>
    <row r="226" spans="7:10" ht="18" customHeight="1" x14ac:dyDescent="0.3">
      <c r="G226" s="28"/>
      <c r="H226" s="28"/>
      <c r="I226" s="28"/>
      <c r="J226" s="31"/>
    </row>
    <row r="227" spans="7:10" ht="18" customHeight="1" x14ac:dyDescent="0.3">
      <c r="G227" s="28"/>
      <c r="H227" s="28"/>
      <c r="I227" s="28"/>
      <c r="J227" s="31"/>
    </row>
    <row r="228" spans="7:10" ht="18" customHeight="1" x14ac:dyDescent="0.3">
      <c r="G228" s="28"/>
      <c r="H228" s="28"/>
      <c r="I228" s="28"/>
      <c r="J228" s="31"/>
    </row>
    <row r="229" spans="7:10" ht="18" customHeight="1" x14ac:dyDescent="0.3">
      <c r="G229" s="28"/>
      <c r="H229" s="28"/>
      <c r="I229" s="28"/>
      <c r="J229" s="31"/>
    </row>
    <row r="230" spans="7:10" ht="18" customHeight="1" x14ac:dyDescent="0.3">
      <c r="G230" s="28"/>
      <c r="H230" s="28"/>
      <c r="I230" s="28"/>
      <c r="J230" s="31"/>
    </row>
    <row r="231" spans="7:10" ht="18" customHeight="1" x14ac:dyDescent="0.3">
      <c r="G231" s="28"/>
      <c r="H231" s="28"/>
      <c r="I231" s="28"/>
      <c r="J231" s="31"/>
    </row>
    <row r="232" spans="7:10" ht="18" customHeight="1" x14ac:dyDescent="0.3">
      <c r="G232" s="28"/>
      <c r="H232" s="28"/>
      <c r="I232" s="28"/>
      <c r="J232" s="31"/>
    </row>
    <row r="233" spans="7:10" ht="18" customHeight="1" x14ac:dyDescent="0.3">
      <c r="G233" s="28"/>
      <c r="H233" s="28"/>
      <c r="I233" s="28"/>
      <c r="J233" s="31"/>
    </row>
    <row r="234" spans="7:10" ht="18" customHeight="1" x14ac:dyDescent="0.3">
      <c r="G234" s="28"/>
      <c r="H234" s="28"/>
      <c r="I234" s="28"/>
      <c r="J234" s="31"/>
    </row>
    <row r="235" spans="7:10" ht="18" customHeight="1" x14ac:dyDescent="0.3">
      <c r="G235" s="28"/>
      <c r="H235" s="28"/>
      <c r="I235" s="28"/>
      <c r="J235" s="31"/>
    </row>
    <row r="236" spans="7:10" ht="18" customHeight="1" x14ac:dyDescent="0.3">
      <c r="G236" s="28"/>
      <c r="H236" s="28"/>
      <c r="I236" s="28"/>
      <c r="J236" s="31"/>
    </row>
    <row r="237" spans="7:10" ht="18" customHeight="1" x14ac:dyDescent="0.3">
      <c r="G237" s="28"/>
      <c r="H237" s="28"/>
      <c r="I237" s="28"/>
      <c r="J237" s="31"/>
    </row>
    <row r="238" spans="7:10" ht="18" customHeight="1" x14ac:dyDescent="0.3">
      <c r="G238" s="28"/>
      <c r="H238" s="28"/>
      <c r="I238" s="28"/>
      <c r="J238" s="31"/>
    </row>
    <row r="239" spans="7:10" ht="18" customHeight="1" x14ac:dyDescent="0.3">
      <c r="G239" s="28"/>
      <c r="H239" s="28"/>
      <c r="I239" s="28"/>
      <c r="J239" s="31"/>
    </row>
    <row r="240" spans="7:10" ht="18" customHeight="1" x14ac:dyDescent="0.3">
      <c r="G240" s="28"/>
      <c r="H240" s="28"/>
      <c r="I240" s="28"/>
      <c r="J240" s="31"/>
    </row>
    <row r="241" spans="7:10" ht="18" customHeight="1" x14ac:dyDescent="0.3">
      <c r="G241" s="28"/>
      <c r="H241" s="28"/>
      <c r="I241" s="28"/>
      <c r="J241" s="31"/>
    </row>
    <row r="242" spans="7:10" ht="18" customHeight="1" x14ac:dyDescent="0.3">
      <c r="G242" s="28"/>
      <c r="H242" s="28"/>
      <c r="I242" s="28"/>
      <c r="J242" s="31"/>
    </row>
    <row r="243" spans="7:10" ht="18" customHeight="1" x14ac:dyDescent="0.3">
      <c r="G243" s="28"/>
      <c r="H243" s="28"/>
      <c r="I243" s="28"/>
      <c r="J243" s="31"/>
    </row>
    <row r="244" spans="7:10" ht="18" customHeight="1" x14ac:dyDescent="0.3">
      <c r="G244" s="28"/>
      <c r="H244" s="28"/>
      <c r="I244" s="28"/>
      <c r="J244" s="31"/>
    </row>
    <row r="245" spans="7:10" ht="18" customHeight="1" x14ac:dyDescent="0.3">
      <c r="G245" s="28"/>
      <c r="H245" s="28"/>
      <c r="I245" s="28"/>
      <c r="J245" s="31"/>
    </row>
    <row r="246" spans="7:10" ht="18" customHeight="1" x14ac:dyDescent="0.3">
      <c r="G246" s="28"/>
      <c r="H246" s="28"/>
      <c r="I246" s="28"/>
      <c r="J246" s="31"/>
    </row>
    <row r="247" spans="7:10" ht="18" customHeight="1" x14ac:dyDescent="0.3">
      <c r="G247" s="28"/>
      <c r="H247" s="28"/>
      <c r="I247" s="28"/>
      <c r="J247" s="31"/>
    </row>
    <row r="248" spans="7:10" ht="18" customHeight="1" x14ac:dyDescent="0.3">
      <c r="G248" s="28"/>
      <c r="H248" s="28"/>
      <c r="I248" s="28"/>
      <c r="J248" s="31"/>
    </row>
    <row r="249" spans="7:10" ht="18" customHeight="1" x14ac:dyDescent="0.3">
      <c r="G249" s="28"/>
      <c r="H249" s="28"/>
      <c r="I249" s="28"/>
      <c r="J249" s="31"/>
    </row>
    <row r="250" spans="7:10" ht="18" customHeight="1" x14ac:dyDescent="0.3">
      <c r="G250" s="28"/>
      <c r="H250" s="28"/>
      <c r="I250" s="28"/>
      <c r="J250" s="31"/>
    </row>
    <row r="251" spans="7:10" ht="18" customHeight="1" x14ac:dyDescent="0.3">
      <c r="G251" s="28"/>
      <c r="H251" s="28"/>
      <c r="I251" s="28"/>
      <c r="J251" s="31"/>
    </row>
    <row r="252" spans="7:10" ht="18" customHeight="1" x14ac:dyDescent="0.3">
      <c r="G252" s="28"/>
      <c r="H252" s="28"/>
      <c r="I252" s="28"/>
      <c r="J252" s="31"/>
    </row>
    <row r="253" spans="7:10" ht="18" customHeight="1" x14ac:dyDescent="0.3">
      <c r="G253" s="28"/>
      <c r="H253" s="28"/>
      <c r="I253" s="28"/>
      <c r="J253" s="31"/>
    </row>
    <row r="254" spans="7:10" ht="18" customHeight="1" x14ac:dyDescent="0.3">
      <c r="G254" s="28"/>
      <c r="H254" s="28"/>
      <c r="I254" s="28"/>
      <c r="J254" s="31"/>
    </row>
    <row r="255" spans="7:10" ht="18" customHeight="1" x14ac:dyDescent="0.3">
      <c r="G255" s="28"/>
      <c r="H255" s="28"/>
      <c r="I255" s="28"/>
      <c r="J255" s="31"/>
    </row>
    <row r="256" spans="7:10" ht="18" customHeight="1" x14ac:dyDescent="0.3">
      <c r="G256" s="28"/>
      <c r="H256" s="28"/>
      <c r="I256" s="28"/>
      <c r="J256" s="31"/>
    </row>
    <row r="257" spans="7:10" ht="18" customHeight="1" x14ac:dyDescent="0.3">
      <c r="G257" s="28"/>
      <c r="H257" s="28"/>
      <c r="I257" s="28"/>
      <c r="J257" s="31"/>
    </row>
    <row r="258" spans="7:10" ht="18" customHeight="1" x14ac:dyDescent="0.3">
      <c r="G258" s="28"/>
      <c r="H258" s="28"/>
      <c r="I258" s="28"/>
      <c r="J258" s="31"/>
    </row>
    <row r="259" spans="7:10" ht="18" customHeight="1" x14ac:dyDescent="0.3">
      <c r="G259" s="28"/>
      <c r="H259" s="28"/>
      <c r="I259" s="28"/>
      <c r="J259" s="31"/>
    </row>
    <row r="260" spans="7:10" ht="18" customHeight="1" x14ac:dyDescent="0.3">
      <c r="G260" s="28"/>
      <c r="H260" s="28"/>
      <c r="I260" s="28"/>
      <c r="J260" s="31"/>
    </row>
    <row r="261" spans="7:10" ht="18" customHeight="1" x14ac:dyDescent="0.3">
      <c r="G261" s="28"/>
      <c r="H261" s="28"/>
      <c r="I261" s="28"/>
      <c r="J261" s="31"/>
    </row>
    <row r="262" spans="7:10" ht="18" customHeight="1" x14ac:dyDescent="0.3">
      <c r="G262" s="28"/>
      <c r="H262" s="28"/>
      <c r="I262" s="28"/>
      <c r="J262" s="31"/>
    </row>
    <row r="263" spans="7:10" ht="18" customHeight="1" x14ac:dyDescent="0.3">
      <c r="G263" s="28"/>
      <c r="H263" s="28"/>
      <c r="I263" s="28"/>
      <c r="J263" s="31"/>
    </row>
    <row r="264" spans="7:10" ht="18" customHeight="1" x14ac:dyDescent="0.3">
      <c r="G264" s="28"/>
      <c r="H264" s="28"/>
      <c r="I264" s="28"/>
      <c r="J264" s="31"/>
    </row>
    <row r="265" spans="7:10" ht="18" customHeight="1" x14ac:dyDescent="0.3">
      <c r="G265" s="28"/>
      <c r="H265" s="28"/>
      <c r="I265" s="28"/>
      <c r="J265" s="31"/>
    </row>
    <row r="266" spans="7:10" ht="18" customHeight="1" x14ac:dyDescent="0.3">
      <c r="G266" s="28"/>
      <c r="H266" s="28"/>
      <c r="I266" s="28"/>
      <c r="J266" s="31"/>
    </row>
    <row r="267" spans="7:10" ht="18" customHeight="1" x14ac:dyDescent="0.3">
      <c r="G267" s="28"/>
      <c r="H267" s="28"/>
      <c r="I267" s="28"/>
      <c r="J267" s="31"/>
    </row>
    <row r="268" spans="7:10" ht="18" customHeight="1" x14ac:dyDescent="0.3">
      <c r="G268" s="28"/>
      <c r="H268" s="28"/>
      <c r="I268" s="28"/>
      <c r="J268" s="31"/>
    </row>
    <row r="269" spans="7:10" ht="18" customHeight="1" x14ac:dyDescent="0.3">
      <c r="G269" s="28"/>
      <c r="H269" s="28"/>
      <c r="I269" s="28"/>
      <c r="J269" s="31"/>
    </row>
    <row r="270" spans="7:10" ht="18" customHeight="1" x14ac:dyDescent="0.3">
      <c r="G270" s="28"/>
      <c r="H270" s="28"/>
      <c r="I270" s="28"/>
      <c r="J270" s="31"/>
    </row>
    <row r="271" spans="7:10" ht="18" customHeight="1" x14ac:dyDescent="0.3">
      <c r="G271" s="28"/>
      <c r="H271" s="28"/>
      <c r="I271" s="28"/>
      <c r="J271" s="31"/>
    </row>
    <row r="272" spans="7:10" ht="18" customHeight="1" x14ac:dyDescent="0.3">
      <c r="G272" s="28"/>
      <c r="H272" s="28"/>
      <c r="I272" s="28"/>
      <c r="J272" s="31"/>
    </row>
    <row r="273" spans="7:10" ht="18" customHeight="1" x14ac:dyDescent="0.3">
      <c r="G273" s="28"/>
      <c r="H273" s="28"/>
      <c r="I273" s="28"/>
      <c r="J273" s="31"/>
    </row>
    <row r="274" spans="7:10" ht="18" customHeight="1" x14ac:dyDescent="0.3">
      <c r="G274" s="28"/>
      <c r="H274" s="28"/>
      <c r="I274" s="28"/>
      <c r="J274" s="31"/>
    </row>
    <row r="275" spans="7:10" ht="18" customHeight="1" x14ac:dyDescent="0.3">
      <c r="G275" s="28"/>
      <c r="H275" s="28"/>
      <c r="I275" s="28"/>
      <c r="J275" s="31"/>
    </row>
    <row r="276" spans="7:10" ht="18" customHeight="1" x14ac:dyDescent="0.3">
      <c r="G276" s="28"/>
      <c r="H276" s="28"/>
      <c r="I276" s="28"/>
      <c r="J276" s="31"/>
    </row>
    <row r="277" spans="7:10" ht="18" customHeight="1" x14ac:dyDescent="0.3">
      <c r="G277" s="28"/>
      <c r="H277" s="28"/>
      <c r="I277" s="28"/>
      <c r="J277" s="31"/>
    </row>
    <row r="278" spans="7:10" ht="18" customHeight="1" x14ac:dyDescent="0.3">
      <c r="G278" s="28"/>
      <c r="H278" s="28"/>
      <c r="I278" s="28"/>
      <c r="J278" s="31"/>
    </row>
    <row r="279" spans="7:10" ht="18" customHeight="1" x14ac:dyDescent="0.3">
      <c r="G279" s="28"/>
      <c r="H279" s="28"/>
      <c r="I279" s="28"/>
      <c r="J279" s="31"/>
    </row>
    <row r="280" spans="7:10" ht="18" customHeight="1" x14ac:dyDescent="0.3">
      <c r="G280" s="28"/>
      <c r="H280" s="28"/>
      <c r="I280" s="28"/>
      <c r="J280" s="31"/>
    </row>
    <row r="281" spans="7:10" ht="18" customHeight="1" x14ac:dyDescent="0.3">
      <c r="G281" s="28"/>
      <c r="H281" s="28"/>
      <c r="I281" s="28"/>
      <c r="J281" s="31"/>
    </row>
    <row r="282" spans="7:10" ht="18" customHeight="1" x14ac:dyDescent="0.3">
      <c r="G282" s="28"/>
      <c r="H282" s="28"/>
      <c r="I282" s="28"/>
      <c r="J282" s="31"/>
    </row>
    <row r="283" spans="7:10" ht="18" customHeight="1" x14ac:dyDescent="0.3">
      <c r="G283" s="28"/>
      <c r="H283" s="28"/>
      <c r="I283" s="28"/>
      <c r="J283" s="31"/>
    </row>
    <row r="284" spans="7:10" ht="18" customHeight="1" x14ac:dyDescent="0.3">
      <c r="G284" s="28"/>
      <c r="H284" s="28"/>
      <c r="I284" s="28"/>
      <c r="J284" s="31"/>
    </row>
    <row r="285" spans="7:10" ht="18" customHeight="1" x14ac:dyDescent="0.3">
      <c r="G285" s="28"/>
      <c r="H285" s="28"/>
      <c r="I285" s="28"/>
      <c r="J285" s="31"/>
    </row>
    <row r="286" spans="7:10" ht="18" customHeight="1" x14ac:dyDescent="0.3">
      <c r="G286" s="28"/>
      <c r="H286" s="28"/>
      <c r="I286" s="28"/>
      <c r="J286" s="31"/>
    </row>
    <row r="287" spans="7:10" ht="18" customHeight="1" x14ac:dyDescent="0.3">
      <c r="G287" s="28"/>
      <c r="H287" s="28"/>
      <c r="I287" s="28"/>
      <c r="J287" s="31"/>
    </row>
    <row r="288" spans="7:10" ht="18" customHeight="1" x14ac:dyDescent="0.3">
      <c r="G288" s="28"/>
      <c r="H288" s="28"/>
      <c r="I288" s="28"/>
      <c r="J288" s="31"/>
    </row>
    <row r="289" spans="7:10" ht="18" customHeight="1" x14ac:dyDescent="0.3">
      <c r="G289" s="28"/>
      <c r="H289" s="28"/>
      <c r="I289" s="28"/>
      <c r="J289" s="31"/>
    </row>
    <row r="290" spans="7:10" ht="18" customHeight="1" x14ac:dyDescent="0.3">
      <c r="G290" s="28"/>
      <c r="H290" s="28"/>
      <c r="I290" s="28"/>
      <c r="J290" s="31"/>
    </row>
    <row r="291" spans="7:10" ht="18" customHeight="1" x14ac:dyDescent="0.3">
      <c r="G291" s="28"/>
      <c r="H291" s="28"/>
      <c r="I291" s="28"/>
      <c r="J291" s="31"/>
    </row>
    <row r="292" spans="7:10" ht="18" customHeight="1" x14ac:dyDescent="0.3">
      <c r="G292" s="28"/>
      <c r="H292" s="28"/>
      <c r="I292" s="28"/>
      <c r="J292" s="31"/>
    </row>
    <row r="293" spans="7:10" ht="18" customHeight="1" x14ac:dyDescent="0.3">
      <c r="G293" s="28"/>
      <c r="H293" s="28"/>
      <c r="I293" s="28"/>
      <c r="J293" s="31"/>
    </row>
    <row r="294" spans="7:10" ht="18" customHeight="1" x14ac:dyDescent="0.3">
      <c r="G294" s="28"/>
      <c r="H294" s="28"/>
      <c r="I294" s="28"/>
      <c r="J294" s="31"/>
    </row>
    <row r="295" spans="7:10" ht="18" customHeight="1" x14ac:dyDescent="0.3">
      <c r="G295" s="28"/>
      <c r="H295" s="28"/>
      <c r="I295" s="28"/>
      <c r="J295" s="31"/>
    </row>
    <row r="296" spans="7:10" ht="18" customHeight="1" x14ac:dyDescent="0.3">
      <c r="G296" s="28"/>
      <c r="H296" s="28"/>
      <c r="I296" s="28"/>
      <c r="J296" s="31"/>
    </row>
    <row r="297" spans="7:10" ht="18" customHeight="1" x14ac:dyDescent="0.3">
      <c r="G297" s="28"/>
      <c r="H297" s="28"/>
      <c r="I297" s="28"/>
      <c r="J297" s="31"/>
    </row>
    <row r="298" spans="7:10" ht="18" customHeight="1" x14ac:dyDescent="0.3">
      <c r="G298" s="28"/>
      <c r="H298" s="28"/>
      <c r="I298" s="28"/>
      <c r="J298" s="31"/>
    </row>
    <row r="299" spans="7:10" ht="18" customHeight="1" x14ac:dyDescent="0.3">
      <c r="G299" s="28"/>
      <c r="H299" s="28"/>
      <c r="I299" s="28"/>
      <c r="J299" s="31"/>
    </row>
    <row r="300" spans="7:10" ht="18" customHeight="1" x14ac:dyDescent="0.3">
      <c r="G300" s="28"/>
      <c r="H300" s="28"/>
      <c r="I300" s="28"/>
      <c r="J300" s="31"/>
    </row>
    <row r="301" spans="7:10" ht="18" customHeight="1" x14ac:dyDescent="0.3">
      <c r="G301" s="28"/>
      <c r="H301" s="28"/>
      <c r="I301" s="28"/>
      <c r="J301" s="31"/>
    </row>
    <row r="302" spans="7:10" ht="18" customHeight="1" x14ac:dyDescent="0.3">
      <c r="G302" s="28"/>
      <c r="H302" s="28"/>
      <c r="I302" s="28"/>
      <c r="J302" s="31"/>
    </row>
    <row r="303" spans="7:10" ht="18" customHeight="1" x14ac:dyDescent="0.3">
      <c r="G303" s="28"/>
      <c r="H303" s="28"/>
      <c r="I303" s="28"/>
      <c r="J303" s="31"/>
    </row>
    <row r="304" spans="7:10" ht="18" customHeight="1" x14ac:dyDescent="0.3">
      <c r="G304" s="28"/>
      <c r="H304" s="28"/>
      <c r="I304" s="28"/>
      <c r="J304" s="31"/>
    </row>
    <row r="305" spans="7:10" ht="18" customHeight="1" x14ac:dyDescent="0.3">
      <c r="G305" s="28"/>
      <c r="H305" s="28"/>
      <c r="I305" s="28"/>
      <c r="J305" s="31"/>
    </row>
    <row r="306" spans="7:10" ht="18" customHeight="1" x14ac:dyDescent="0.3">
      <c r="G306" s="28"/>
      <c r="H306" s="28"/>
      <c r="I306" s="28"/>
      <c r="J306" s="31"/>
    </row>
    <row r="307" spans="7:10" ht="18" customHeight="1" x14ac:dyDescent="0.3">
      <c r="G307" s="28"/>
      <c r="H307" s="28"/>
      <c r="I307" s="28"/>
      <c r="J307" s="31"/>
    </row>
    <row r="308" spans="7:10" ht="18" customHeight="1" x14ac:dyDescent="0.3">
      <c r="G308" s="28"/>
      <c r="H308" s="28"/>
      <c r="I308" s="28"/>
      <c r="J308" s="31"/>
    </row>
    <row r="309" spans="7:10" ht="18" customHeight="1" x14ac:dyDescent="0.3">
      <c r="G309" s="28"/>
      <c r="H309" s="28"/>
      <c r="I309" s="28"/>
      <c r="J309" s="31"/>
    </row>
    <row r="310" spans="7:10" ht="18" customHeight="1" x14ac:dyDescent="0.3">
      <c r="G310" s="28"/>
      <c r="H310" s="28"/>
      <c r="I310" s="28"/>
      <c r="J310" s="31"/>
    </row>
    <row r="311" spans="7:10" ht="18" customHeight="1" x14ac:dyDescent="0.3">
      <c r="G311" s="28"/>
      <c r="H311" s="28"/>
      <c r="I311" s="28"/>
      <c r="J311" s="31"/>
    </row>
    <row r="312" spans="7:10" ht="18" customHeight="1" x14ac:dyDescent="0.3">
      <c r="G312" s="28"/>
      <c r="H312" s="28"/>
      <c r="I312" s="28"/>
      <c r="J312" s="31"/>
    </row>
    <row r="313" spans="7:10" ht="18" customHeight="1" x14ac:dyDescent="0.3">
      <c r="G313" s="28"/>
      <c r="H313" s="28"/>
      <c r="I313" s="28"/>
      <c r="J313" s="31"/>
    </row>
    <row r="314" spans="7:10" ht="18" customHeight="1" x14ac:dyDescent="0.3">
      <c r="G314" s="28"/>
      <c r="H314" s="28"/>
      <c r="I314" s="28"/>
      <c r="J314" s="31"/>
    </row>
    <row r="315" spans="7:10" ht="18" customHeight="1" x14ac:dyDescent="0.3">
      <c r="G315" s="28"/>
      <c r="H315" s="28"/>
      <c r="I315" s="28"/>
      <c r="J315" s="31"/>
    </row>
    <row r="316" spans="7:10" ht="18" customHeight="1" x14ac:dyDescent="0.3">
      <c r="G316" s="28"/>
      <c r="H316" s="28"/>
      <c r="I316" s="28"/>
      <c r="J316" s="31"/>
    </row>
    <row r="317" spans="7:10" ht="18" customHeight="1" x14ac:dyDescent="0.3">
      <c r="G317" s="28"/>
      <c r="H317" s="28"/>
      <c r="I317" s="28"/>
      <c r="J317" s="31"/>
    </row>
    <row r="318" spans="7:10" ht="18" customHeight="1" x14ac:dyDescent="0.3">
      <c r="G318" s="28"/>
      <c r="H318" s="28"/>
      <c r="I318" s="28"/>
      <c r="J318" s="31"/>
    </row>
    <row r="319" spans="7:10" ht="18" customHeight="1" x14ac:dyDescent="0.3">
      <c r="G319" s="28"/>
      <c r="H319" s="28"/>
      <c r="I319" s="28"/>
      <c r="J319" s="31"/>
    </row>
    <row r="320" spans="7:10" ht="18" customHeight="1" x14ac:dyDescent="0.3">
      <c r="G320" s="28"/>
      <c r="H320" s="28"/>
      <c r="I320" s="28"/>
      <c r="J320" s="31"/>
    </row>
    <row r="321" spans="7:10" ht="18" customHeight="1" x14ac:dyDescent="0.3">
      <c r="G321" s="28"/>
      <c r="H321" s="28"/>
      <c r="I321" s="28"/>
      <c r="J321" s="31"/>
    </row>
    <row r="322" spans="7:10" ht="18" customHeight="1" x14ac:dyDescent="0.3">
      <c r="G322" s="28"/>
      <c r="H322" s="28"/>
      <c r="I322" s="28"/>
      <c r="J322" s="31"/>
    </row>
    <row r="323" spans="7:10" ht="18" customHeight="1" x14ac:dyDescent="0.3">
      <c r="G323" s="28"/>
      <c r="H323" s="28"/>
      <c r="I323" s="28"/>
      <c r="J323" s="31"/>
    </row>
    <row r="324" spans="7:10" ht="18" customHeight="1" x14ac:dyDescent="0.3">
      <c r="G324" s="28"/>
      <c r="H324" s="28"/>
      <c r="I324" s="28"/>
      <c r="J324" s="31"/>
    </row>
    <row r="325" spans="7:10" ht="18" customHeight="1" x14ac:dyDescent="0.3">
      <c r="G325" s="28"/>
      <c r="H325" s="28"/>
      <c r="I325" s="28"/>
      <c r="J325" s="31"/>
    </row>
    <row r="326" spans="7:10" ht="18" customHeight="1" x14ac:dyDescent="0.3">
      <c r="G326" s="28"/>
      <c r="H326" s="28"/>
      <c r="I326" s="28"/>
      <c r="J326" s="31"/>
    </row>
    <row r="327" spans="7:10" ht="18" customHeight="1" x14ac:dyDescent="0.3">
      <c r="G327" s="28"/>
      <c r="H327" s="28"/>
      <c r="I327" s="28"/>
      <c r="J327" s="31"/>
    </row>
    <row r="328" spans="7:10" ht="18" customHeight="1" x14ac:dyDescent="0.3">
      <c r="G328" s="28"/>
      <c r="H328" s="28"/>
      <c r="I328" s="28"/>
      <c r="J328" s="31"/>
    </row>
    <row r="329" spans="7:10" ht="18" customHeight="1" x14ac:dyDescent="0.3">
      <c r="G329" s="28"/>
      <c r="H329" s="28"/>
      <c r="I329" s="28"/>
      <c r="J329" s="31"/>
    </row>
    <row r="330" spans="7:10" ht="18" customHeight="1" x14ac:dyDescent="0.3">
      <c r="G330" s="28"/>
      <c r="H330" s="28"/>
      <c r="I330" s="28"/>
      <c r="J330" s="31"/>
    </row>
    <row r="331" spans="7:10" ht="18" customHeight="1" x14ac:dyDescent="0.3">
      <c r="G331" s="28"/>
      <c r="H331" s="28"/>
      <c r="I331" s="28"/>
      <c r="J331" s="31"/>
    </row>
    <row r="332" spans="7:10" ht="18" customHeight="1" x14ac:dyDescent="0.3">
      <c r="G332" s="28"/>
      <c r="H332" s="28"/>
      <c r="I332" s="28"/>
      <c r="J332" s="31"/>
    </row>
    <row r="333" spans="7:10" ht="18" customHeight="1" x14ac:dyDescent="0.3">
      <c r="G333" s="28"/>
      <c r="H333" s="28"/>
      <c r="I333" s="28"/>
      <c r="J333" s="31"/>
    </row>
    <row r="334" spans="7:10" ht="18" customHeight="1" x14ac:dyDescent="0.3">
      <c r="G334" s="28"/>
      <c r="H334" s="28"/>
      <c r="I334" s="28"/>
      <c r="J334" s="31"/>
    </row>
    <row r="335" spans="7:10" ht="18" customHeight="1" x14ac:dyDescent="0.3">
      <c r="G335" s="28"/>
      <c r="H335" s="28"/>
      <c r="I335" s="28"/>
      <c r="J335" s="31"/>
    </row>
    <row r="336" spans="7:10" ht="18" customHeight="1" x14ac:dyDescent="0.3">
      <c r="G336" s="28"/>
      <c r="H336" s="28"/>
      <c r="I336" s="28"/>
      <c r="J336" s="31"/>
    </row>
    <row r="337" spans="7:10" ht="18" customHeight="1" x14ac:dyDescent="0.3">
      <c r="G337" s="28"/>
      <c r="H337" s="28"/>
      <c r="I337" s="28"/>
      <c r="J337" s="31"/>
    </row>
    <row r="338" spans="7:10" ht="18" customHeight="1" x14ac:dyDescent="0.3">
      <c r="G338" s="28"/>
      <c r="H338" s="28"/>
      <c r="I338" s="28"/>
      <c r="J338" s="31"/>
    </row>
    <row r="339" spans="7:10" ht="18" customHeight="1" x14ac:dyDescent="0.3">
      <c r="G339" s="28"/>
      <c r="H339" s="28"/>
      <c r="I339" s="28"/>
      <c r="J339" s="31"/>
    </row>
    <row r="340" spans="7:10" ht="18" customHeight="1" x14ac:dyDescent="0.3">
      <c r="G340" s="28"/>
      <c r="H340" s="28"/>
      <c r="I340" s="28"/>
      <c r="J340" s="31"/>
    </row>
    <row r="341" spans="7:10" ht="18" customHeight="1" x14ac:dyDescent="0.3">
      <c r="G341" s="28"/>
      <c r="H341" s="28"/>
      <c r="I341" s="28"/>
      <c r="J341" s="31"/>
    </row>
    <row r="342" spans="7:10" ht="18" customHeight="1" x14ac:dyDescent="0.3">
      <c r="G342" s="28"/>
      <c r="H342" s="28"/>
      <c r="I342" s="28"/>
      <c r="J342" s="31"/>
    </row>
    <row r="343" spans="7:10" ht="18" customHeight="1" x14ac:dyDescent="0.3">
      <c r="G343" s="28"/>
      <c r="H343" s="28"/>
      <c r="I343" s="28"/>
      <c r="J343" s="31"/>
    </row>
    <row r="344" spans="7:10" ht="18" customHeight="1" x14ac:dyDescent="0.3">
      <c r="G344" s="28"/>
      <c r="H344" s="28"/>
      <c r="I344" s="28"/>
      <c r="J344" s="31"/>
    </row>
    <row r="345" spans="7:10" ht="18" customHeight="1" x14ac:dyDescent="0.3">
      <c r="G345" s="28"/>
      <c r="H345" s="28"/>
      <c r="I345" s="28"/>
      <c r="J345" s="31"/>
    </row>
    <row r="346" spans="7:10" ht="18" customHeight="1" x14ac:dyDescent="0.3">
      <c r="G346" s="28"/>
      <c r="H346" s="28"/>
      <c r="I346" s="28"/>
      <c r="J346" s="31"/>
    </row>
    <row r="347" spans="7:10" ht="18" customHeight="1" x14ac:dyDescent="0.3">
      <c r="G347" s="28"/>
      <c r="H347" s="28"/>
      <c r="I347" s="28"/>
      <c r="J347" s="31"/>
    </row>
    <row r="348" spans="7:10" ht="18" customHeight="1" x14ac:dyDescent="0.3">
      <c r="G348" s="28"/>
      <c r="H348" s="28"/>
      <c r="I348" s="28"/>
      <c r="J348" s="31"/>
    </row>
    <row r="349" spans="7:10" ht="18" customHeight="1" x14ac:dyDescent="0.3">
      <c r="G349" s="28"/>
      <c r="H349" s="28"/>
      <c r="I349" s="28"/>
      <c r="J349" s="31"/>
    </row>
    <row r="350" spans="7:10" ht="18" customHeight="1" x14ac:dyDescent="0.3">
      <c r="G350" s="28"/>
      <c r="H350" s="28"/>
      <c r="I350" s="28"/>
      <c r="J350" s="31"/>
    </row>
    <row r="351" spans="7:10" ht="18" customHeight="1" x14ac:dyDescent="0.3">
      <c r="G351" s="28"/>
      <c r="H351" s="28"/>
      <c r="I351" s="28"/>
      <c r="J351" s="31"/>
    </row>
    <row r="352" spans="7:10" ht="18" customHeight="1" x14ac:dyDescent="0.3">
      <c r="G352" s="28"/>
      <c r="H352" s="28"/>
      <c r="I352" s="28"/>
      <c r="J352" s="31"/>
    </row>
    <row r="353" spans="7:10" ht="18" customHeight="1" x14ac:dyDescent="0.3">
      <c r="G353" s="28"/>
      <c r="H353" s="28"/>
      <c r="I353" s="28"/>
      <c r="J353" s="31"/>
    </row>
    <row r="354" spans="7:10" ht="18" customHeight="1" x14ac:dyDescent="0.3">
      <c r="G354" s="28"/>
      <c r="H354" s="28"/>
      <c r="I354" s="28"/>
      <c r="J354" s="31"/>
    </row>
    <row r="355" spans="7:10" ht="18" customHeight="1" x14ac:dyDescent="0.3">
      <c r="G355" s="28"/>
      <c r="H355" s="28"/>
      <c r="I355" s="28"/>
      <c r="J355" s="31"/>
    </row>
    <row r="356" spans="7:10" ht="18" customHeight="1" x14ac:dyDescent="0.3">
      <c r="G356" s="28"/>
      <c r="H356" s="28"/>
      <c r="I356" s="28"/>
      <c r="J356" s="31"/>
    </row>
    <row r="357" spans="7:10" ht="18" customHeight="1" x14ac:dyDescent="0.3">
      <c r="G357" s="28"/>
      <c r="H357" s="28"/>
      <c r="I357" s="28"/>
      <c r="J357" s="31"/>
    </row>
    <row r="358" spans="7:10" ht="18" customHeight="1" x14ac:dyDescent="0.3">
      <c r="G358" s="28"/>
      <c r="H358" s="28"/>
      <c r="I358" s="28"/>
      <c r="J358" s="31"/>
    </row>
    <row r="359" spans="7:10" ht="18" customHeight="1" x14ac:dyDescent="0.3">
      <c r="G359" s="28"/>
      <c r="H359" s="28"/>
      <c r="I359" s="28"/>
      <c r="J359" s="31"/>
    </row>
    <row r="360" spans="7:10" ht="18" customHeight="1" x14ac:dyDescent="0.3">
      <c r="G360" s="28"/>
      <c r="H360" s="28"/>
      <c r="I360" s="28"/>
      <c r="J360" s="31"/>
    </row>
    <row r="361" spans="7:10" ht="18" customHeight="1" x14ac:dyDescent="0.3">
      <c r="G361" s="28"/>
      <c r="H361" s="28"/>
      <c r="I361" s="28"/>
      <c r="J361" s="31"/>
    </row>
    <row r="362" spans="7:10" ht="18" customHeight="1" x14ac:dyDescent="0.3">
      <c r="G362" s="28"/>
      <c r="H362" s="28"/>
      <c r="I362" s="28"/>
      <c r="J362" s="31"/>
    </row>
    <row r="363" spans="7:10" ht="18" customHeight="1" x14ac:dyDescent="0.3">
      <c r="G363" s="28"/>
      <c r="H363" s="28"/>
      <c r="I363" s="28"/>
      <c r="J363" s="31"/>
    </row>
    <row r="364" spans="7:10" ht="18" customHeight="1" x14ac:dyDescent="0.3">
      <c r="G364" s="28"/>
      <c r="H364" s="28"/>
      <c r="I364" s="28"/>
      <c r="J364" s="31"/>
    </row>
    <row r="365" spans="7:10" ht="18" customHeight="1" x14ac:dyDescent="0.3">
      <c r="G365" s="28"/>
      <c r="H365" s="28"/>
      <c r="I365" s="28"/>
      <c r="J365" s="31"/>
    </row>
    <row r="366" spans="7:10" ht="18" customHeight="1" x14ac:dyDescent="0.3">
      <c r="G366" s="28"/>
      <c r="H366" s="28"/>
      <c r="I366" s="28"/>
      <c r="J366" s="31"/>
    </row>
    <row r="367" spans="7:10" ht="18" customHeight="1" x14ac:dyDescent="0.3">
      <c r="G367" s="28"/>
      <c r="H367" s="28"/>
      <c r="I367" s="28"/>
      <c r="J367" s="31"/>
    </row>
    <row r="368" spans="7:10" ht="18" customHeight="1" x14ac:dyDescent="0.3">
      <c r="G368" s="28"/>
      <c r="H368" s="28"/>
      <c r="I368" s="28"/>
      <c r="J368" s="31"/>
    </row>
    <row r="369" spans="7:10" ht="18" customHeight="1" x14ac:dyDescent="0.3">
      <c r="G369" s="28"/>
      <c r="H369" s="28"/>
      <c r="I369" s="28"/>
      <c r="J369" s="31"/>
    </row>
    <row r="370" spans="7:10" ht="18" customHeight="1" x14ac:dyDescent="0.3">
      <c r="G370" s="28"/>
      <c r="H370" s="28"/>
      <c r="I370" s="28"/>
      <c r="J370" s="31"/>
    </row>
    <row r="371" spans="7:10" ht="18" customHeight="1" x14ac:dyDescent="0.3">
      <c r="G371" s="28"/>
      <c r="H371" s="28"/>
      <c r="I371" s="28"/>
      <c r="J371" s="31"/>
    </row>
    <row r="372" spans="7:10" ht="18" customHeight="1" x14ac:dyDescent="0.3">
      <c r="G372" s="28"/>
      <c r="H372" s="28"/>
      <c r="I372" s="28"/>
      <c r="J372" s="31"/>
    </row>
    <row r="373" spans="7:10" ht="18" customHeight="1" x14ac:dyDescent="0.3">
      <c r="G373" s="28"/>
      <c r="H373" s="28"/>
      <c r="I373" s="28"/>
      <c r="J373" s="31"/>
    </row>
    <row r="374" spans="7:10" ht="18" customHeight="1" x14ac:dyDescent="0.3">
      <c r="G374" s="28"/>
      <c r="H374" s="28"/>
      <c r="I374" s="28"/>
      <c r="J374" s="31"/>
    </row>
    <row r="375" spans="7:10" ht="18" customHeight="1" x14ac:dyDescent="0.3">
      <c r="G375" s="28"/>
      <c r="H375" s="28"/>
      <c r="I375" s="28"/>
      <c r="J375" s="31"/>
    </row>
    <row r="376" spans="7:10" ht="18" customHeight="1" x14ac:dyDescent="0.3">
      <c r="G376" s="28"/>
      <c r="H376" s="28"/>
      <c r="I376" s="28"/>
      <c r="J376" s="31"/>
    </row>
    <row r="377" spans="7:10" ht="18" customHeight="1" x14ac:dyDescent="0.3">
      <c r="G377" s="28"/>
      <c r="H377" s="28"/>
      <c r="I377" s="28"/>
      <c r="J377" s="31"/>
    </row>
    <row r="378" spans="7:10" ht="18" customHeight="1" x14ac:dyDescent="0.3">
      <c r="G378" s="28"/>
      <c r="H378" s="28"/>
      <c r="I378" s="28"/>
      <c r="J378" s="31"/>
    </row>
    <row r="379" spans="7:10" ht="18" customHeight="1" x14ac:dyDescent="0.3">
      <c r="G379" s="28"/>
      <c r="H379" s="28"/>
      <c r="I379" s="28"/>
      <c r="J379" s="31"/>
    </row>
    <row r="380" spans="7:10" ht="18" customHeight="1" x14ac:dyDescent="0.3">
      <c r="G380" s="28"/>
      <c r="H380" s="28"/>
      <c r="I380" s="28"/>
      <c r="J380" s="31"/>
    </row>
    <row r="381" spans="7:10" ht="18" customHeight="1" x14ac:dyDescent="0.3">
      <c r="G381" s="28"/>
      <c r="H381" s="28"/>
      <c r="I381" s="28"/>
      <c r="J381" s="31"/>
    </row>
    <row r="382" spans="7:10" ht="18" customHeight="1" x14ac:dyDescent="0.3">
      <c r="G382" s="28"/>
      <c r="H382" s="28"/>
      <c r="I382" s="28"/>
      <c r="J382" s="31"/>
    </row>
    <row r="383" spans="7:10" ht="18" customHeight="1" x14ac:dyDescent="0.3">
      <c r="G383" s="28"/>
      <c r="H383" s="28"/>
      <c r="I383" s="28"/>
      <c r="J383" s="31"/>
    </row>
    <row r="384" spans="7:10" ht="18" customHeight="1" x14ac:dyDescent="0.3">
      <c r="G384" s="28"/>
      <c r="H384" s="28"/>
      <c r="I384" s="28"/>
      <c r="J384" s="31"/>
    </row>
    <row r="385" spans="7:10" ht="18" customHeight="1" x14ac:dyDescent="0.3">
      <c r="G385" s="28"/>
      <c r="H385" s="28"/>
      <c r="I385" s="28"/>
      <c r="J385" s="31"/>
    </row>
    <row r="386" spans="7:10" ht="18" customHeight="1" x14ac:dyDescent="0.3">
      <c r="G386" s="28"/>
      <c r="H386" s="28"/>
      <c r="I386" s="28"/>
      <c r="J386" s="31"/>
    </row>
    <row r="387" spans="7:10" ht="18" customHeight="1" x14ac:dyDescent="0.3">
      <c r="G387" s="28"/>
      <c r="H387" s="28"/>
      <c r="I387" s="28"/>
      <c r="J387" s="31"/>
    </row>
    <row r="388" spans="7:10" ht="18" customHeight="1" x14ac:dyDescent="0.3">
      <c r="G388" s="28"/>
      <c r="H388" s="28"/>
      <c r="I388" s="28"/>
      <c r="J388" s="31"/>
    </row>
    <row r="389" spans="7:10" ht="18" customHeight="1" x14ac:dyDescent="0.3">
      <c r="G389" s="28"/>
      <c r="H389" s="28"/>
      <c r="I389" s="28"/>
      <c r="J389" s="31"/>
    </row>
    <row r="390" spans="7:10" ht="18" customHeight="1" x14ac:dyDescent="0.3">
      <c r="G390" s="28"/>
      <c r="H390" s="28"/>
      <c r="I390" s="28"/>
      <c r="J390" s="31"/>
    </row>
    <row r="391" spans="7:10" ht="18" customHeight="1" x14ac:dyDescent="0.3">
      <c r="G391" s="28"/>
      <c r="H391" s="28"/>
      <c r="I391" s="28"/>
      <c r="J391" s="31"/>
    </row>
    <row r="392" spans="7:10" ht="18" customHeight="1" x14ac:dyDescent="0.3">
      <c r="G392" s="28"/>
      <c r="H392" s="28"/>
      <c r="I392" s="28"/>
      <c r="J392" s="31"/>
    </row>
    <row r="393" spans="7:10" ht="18" customHeight="1" x14ac:dyDescent="0.3">
      <c r="G393" s="28"/>
      <c r="H393" s="28"/>
      <c r="I393" s="28"/>
      <c r="J393" s="31"/>
    </row>
    <row r="394" spans="7:10" ht="18" customHeight="1" x14ac:dyDescent="0.3">
      <c r="G394" s="28"/>
      <c r="H394" s="28"/>
      <c r="I394" s="28"/>
      <c r="J394" s="31"/>
    </row>
    <row r="395" spans="7:10" ht="18" customHeight="1" x14ac:dyDescent="0.3">
      <c r="G395" s="28"/>
      <c r="H395" s="28"/>
      <c r="I395" s="28"/>
      <c r="J395" s="31"/>
    </row>
    <row r="396" spans="7:10" ht="18" customHeight="1" x14ac:dyDescent="0.3">
      <c r="G396" s="28"/>
      <c r="H396" s="28"/>
      <c r="I396" s="28"/>
      <c r="J396" s="31"/>
    </row>
    <row r="397" spans="7:10" ht="18" customHeight="1" x14ac:dyDescent="0.3">
      <c r="G397" s="28"/>
      <c r="H397" s="28"/>
      <c r="I397" s="28"/>
      <c r="J397" s="31"/>
    </row>
    <row r="398" spans="7:10" ht="18" customHeight="1" x14ac:dyDescent="0.3">
      <c r="G398" s="28"/>
      <c r="H398" s="28"/>
      <c r="I398" s="28"/>
      <c r="J398" s="31"/>
    </row>
    <row r="399" spans="7:10" ht="18" customHeight="1" x14ac:dyDescent="0.3">
      <c r="G399" s="28"/>
      <c r="H399" s="28"/>
      <c r="I399" s="28"/>
      <c r="J399" s="31"/>
    </row>
    <row r="400" spans="7:10" ht="18" customHeight="1" x14ac:dyDescent="0.3">
      <c r="G400" s="28"/>
      <c r="H400" s="28"/>
      <c r="I400" s="28"/>
      <c r="J400" s="31"/>
    </row>
    <row r="401" spans="7:10" ht="18" customHeight="1" x14ac:dyDescent="0.3">
      <c r="G401" s="28"/>
      <c r="H401" s="28"/>
      <c r="I401" s="28"/>
      <c r="J401" s="31"/>
    </row>
    <row r="402" spans="7:10" ht="18" customHeight="1" x14ac:dyDescent="0.3">
      <c r="G402" s="28"/>
      <c r="H402" s="28"/>
      <c r="I402" s="28"/>
      <c r="J402" s="31"/>
    </row>
    <row r="403" spans="7:10" ht="18" customHeight="1" x14ac:dyDescent="0.3">
      <c r="G403" s="28"/>
      <c r="H403" s="28"/>
      <c r="I403" s="28"/>
      <c r="J403" s="31"/>
    </row>
    <row r="404" spans="7:10" ht="18" customHeight="1" x14ac:dyDescent="0.3">
      <c r="G404" s="28"/>
      <c r="H404" s="28"/>
      <c r="I404" s="28"/>
      <c r="J404" s="31"/>
    </row>
    <row r="405" spans="7:10" ht="18" customHeight="1" x14ac:dyDescent="0.3">
      <c r="G405" s="28"/>
      <c r="H405" s="28"/>
      <c r="I405" s="28"/>
      <c r="J405" s="31"/>
    </row>
    <row r="406" spans="7:10" ht="18" customHeight="1" x14ac:dyDescent="0.3">
      <c r="G406" s="28"/>
      <c r="H406" s="28"/>
      <c r="I406" s="28"/>
      <c r="J406" s="31"/>
    </row>
    <row r="407" spans="7:10" ht="18" customHeight="1" x14ac:dyDescent="0.3">
      <c r="G407" s="28"/>
      <c r="H407" s="28"/>
      <c r="I407" s="28"/>
      <c r="J407" s="31"/>
    </row>
    <row r="408" spans="7:10" ht="18" customHeight="1" x14ac:dyDescent="0.3">
      <c r="G408" s="28"/>
      <c r="H408" s="28"/>
      <c r="I408" s="28"/>
      <c r="J408" s="31"/>
    </row>
    <row r="409" spans="7:10" ht="18" customHeight="1" x14ac:dyDescent="0.3">
      <c r="G409" s="28"/>
      <c r="H409" s="28"/>
      <c r="I409" s="28"/>
      <c r="J409" s="31"/>
    </row>
    <row r="410" spans="7:10" ht="18" customHeight="1" x14ac:dyDescent="0.3">
      <c r="G410" s="28"/>
      <c r="H410" s="28"/>
      <c r="I410" s="28"/>
      <c r="J410" s="31"/>
    </row>
    <row r="411" spans="7:10" ht="18" customHeight="1" x14ac:dyDescent="0.3">
      <c r="G411" s="28"/>
      <c r="H411" s="28"/>
      <c r="I411" s="28"/>
      <c r="J411" s="31"/>
    </row>
    <row r="412" spans="7:10" ht="18" customHeight="1" x14ac:dyDescent="0.3">
      <c r="G412" s="28"/>
      <c r="H412" s="28"/>
      <c r="I412" s="28"/>
      <c r="J412" s="31"/>
    </row>
    <row r="413" spans="7:10" ht="18" customHeight="1" x14ac:dyDescent="0.3">
      <c r="G413" s="28"/>
      <c r="H413" s="28"/>
      <c r="I413" s="28"/>
      <c r="J413" s="31"/>
    </row>
    <row r="414" spans="7:10" ht="18" customHeight="1" x14ac:dyDescent="0.3">
      <c r="G414" s="28"/>
      <c r="H414" s="28"/>
      <c r="I414" s="28"/>
      <c r="J414" s="31"/>
    </row>
    <row r="415" spans="7:10" ht="18" customHeight="1" x14ac:dyDescent="0.3">
      <c r="G415" s="28"/>
      <c r="H415" s="28"/>
      <c r="I415" s="28"/>
      <c r="J415" s="31"/>
    </row>
    <row r="416" spans="7:10" ht="18" customHeight="1" x14ac:dyDescent="0.3">
      <c r="G416" s="28"/>
      <c r="H416" s="28"/>
      <c r="I416" s="28"/>
      <c r="J416" s="31"/>
    </row>
    <row r="417" spans="7:10" ht="18" customHeight="1" x14ac:dyDescent="0.3">
      <c r="G417" s="28"/>
      <c r="H417" s="28"/>
      <c r="I417" s="28"/>
      <c r="J417" s="31"/>
    </row>
    <row r="418" spans="7:10" ht="18" customHeight="1" x14ac:dyDescent="0.3">
      <c r="G418" s="28"/>
      <c r="H418" s="28"/>
      <c r="I418" s="28"/>
      <c r="J418" s="31"/>
    </row>
    <row r="419" spans="7:10" ht="18" customHeight="1" x14ac:dyDescent="0.3">
      <c r="G419" s="28"/>
      <c r="H419" s="28"/>
      <c r="I419" s="28"/>
      <c r="J419" s="31"/>
    </row>
    <row r="420" spans="7:10" ht="18" customHeight="1" x14ac:dyDescent="0.3">
      <c r="G420" s="28"/>
      <c r="H420" s="28"/>
      <c r="I420" s="28"/>
      <c r="J420" s="31"/>
    </row>
    <row r="421" spans="7:10" ht="18" customHeight="1" x14ac:dyDescent="0.3">
      <c r="G421" s="28"/>
      <c r="H421" s="28"/>
      <c r="I421" s="28"/>
      <c r="J421" s="31"/>
    </row>
    <row r="422" spans="7:10" ht="18" customHeight="1" x14ac:dyDescent="0.3">
      <c r="G422" s="28"/>
      <c r="H422" s="28"/>
      <c r="I422" s="28"/>
      <c r="J422" s="31"/>
    </row>
    <row r="423" spans="7:10" ht="18" customHeight="1" x14ac:dyDescent="0.3">
      <c r="G423" s="28"/>
      <c r="H423" s="28"/>
      <c r="I423" s="28"/>
      <c r="J423" s="31"/>
    </row>
    <row r="424" spans="7:10" ht="18" customHeight="1" x14ac:dyDescent="0.3">
      <c r="G424" s="28"/>
      <c r="H424" s="28"/>
      <c r="I424" s="28"/>
      <c r="J424" s="31"/>
    </row>
    <row r="425" spans="7:10" ht="18" customHeight="1" x14ac:dyDescent="0.3">
      <c r="G425" s="28"/>
      <c r="H425" s="28"/>
      <c r="I425" s="28"/>
      <c r="J425" s="31"/>
    </row>
    <row r="426" spans="7:10" ht="18" customHeight="1" x14ac:dyDescent="0.3">
      <c r="G426" s="28"/>
      <c r="H426" s="28"/>
      <c r="I426" s="28"/>
      <c r="J426" s="31"/>
    </row>
    <row r="427" spans="7:10" ht="18" customHeight="1" x14ac:dyDescent="0.3">
      <c r="G427" s="28"/>
      <c r="H427" s="28"/>
      <c r="I427" s="28"/>
      <c r="J427" s="31"/>
    </row>
    <row r="428" spans="7:10" ht="18" customHeight="1" x14ac:dyDescent="0.3">
      <c r="G428" s="28"/>
      <c r="H428" s="28"/>
      <c r="I428" s="28"/>
      <c r="J428" s="31"/>
    </row>
    <row r="429" spans="7:10" ht="18" customHeight="1" x14ac:dyDescent="0.3">
      <c r="G429" s="28"/>
      <c r="H429" s="28"/>
      <c r="I429" s="28"/>
      <c r="J429" s="31"/>
    </row>
    <row r="430" spans="7:10" ht="18" customHeight="1" x14ac:dyDescent="0.3">
      <c r="G430" s="28"/>
      <c r="H430" s="28"/>
      <c r="I430" s="28"/>
      <c r="J430" s="31"/>
    </row>
    <row r="431" spans="7:10" ht="18" customHeight="1" x14ac:dyDescent="0.3">
      <c r="G431" s="28"/>
      <c r="H431" s="28"/>
      <c r="I431" s="28"/>
      <c r="J431" s="31"/>
    </row>
    <row r="432" spans="7:10" ht="18" customHeight="1" x14ac:dyDescent="0.3">
      <c r="G432" s="28"/>
      <c r="H432" s="28"/>
      <c r="I432" s="28"/>
      <c r="J432" s="31"/>
    </row>
    <row r="433" spans="7:10" ht="18" customHeight="1" x14ac:dyDescent="0.3">
      <c r="G433" s="28"/>
      <c r="H433" s="28"/>
      <c r="I433" s="28"/>
      <c r="J433" s="31"/>
    </row>
    <row r="434" spans="7:10" ht="18" customHeight="1" x14ac:dyDescent="0.3">
      <c r="G434" s="28"/>
      <c r="H434" s="28"/>
      <c r="I434" s="28"/>
      <c r="J434" s="31"/>
    </row>
    <row r="435" spans="7:10" ht="18" customHeight="1" x14ac:dyDescent="0.3">
      <c r="G435" s="28"/>
      <c r="H435" s="28"/>
      <c r="I435" s="28"/>
      <c r="J435" s="31"/>
    </row>
    <row r="436" spans="7:10" ht="18" customHeight="1" x14ac:dyDescent="0.3">
      <c r="G436" s="28"/>
      <c r="H436" s="28"/>
      <c r="I436" s="28"/>
      <c r="J436" s="31"/>
    </row>
    <row r="437" spans="7:10" ht="18" customHeight="1" x14ac:dyDescent="0.3">
      <c r="G437" s="28"/>
      <c r="H437" s="28"/>
      <c r="I437" s="28"/>
      <c r="J437" s="31"/>
    </row>
    <row r="438" spans="7:10" ht="18" customHeight="1" x14ac:dyDescent="0.3">
      <c r="G438" s="28"/>
      <c r="H438" s="28"/>
      <c r="I438" s="28"/>
      <c r="J438" s="31"/>
    </row>
    <row r="439" spans="7:10" ht="18" customHeight="1" x14ac:dyDescent="0.3">
      <c r="G439" s="28"/>
      <c r="H439" s="28"/>
      <c r="I439" s="28"/>
      <c r="J439" s="31"/>
    </row>
    <row r="440" spans="7:10" ht="18" customHeight="1" x14ac:dyDescent="0.3">
      <c r="G440" s="28"/>
      <c r="H440" s="28"/>
      <c r="I440" s="28"/>
      <c r="J440" s="31"/>
    </row>
    <row r="441" spans="7:10" ht="18" customHeight="1" x14ac:dyDescent="0.3">
      <c r="G441" s="28"/>
      <c r="H441" s="28"/>
      <c r="I441" s="28"/>
      <c r="J441" s="31"/>
    </row>
    <row r="442" spans="7:10" ht="18" customHeight="1" x14ac:dyDescent="0.3">
      <c r="G442" s="28"/>
      <c r="H442" s="28"/>
      <c r="I442" s="28"/>
      <c r="J442" s="31"/>
    </row>
    <row r="443" spans="7:10" ht="18" customHeight="1" x14ac:dyDescent="0.3">
      <c r="G443" s="28"/>
      <c r="H443" s="28"/>
      <c r="I443" s="28"/>
      <c r="J443" s="31"/>
    </row>
    <row r="444" spans="7:10" ht="18" customHeight="1" x14ac:dyDescent="0.3">
      <c r="G444" s="28"/>
      <c r="H444" s="28"/>
      <c r="I444" s="28"/>
      <c r="J444" s="31"/>
    </row>
    <row r="445" spans="7:10" ht="18" customHeight="1" x14ac:dyDescent="0.3">
      <c r="G445" s="28"/>
      <c r="H445" s="28"/>
      <c r="I445" s="28"/>
      <c r="J445" s="31"/>
    </row>
    <row r="446" spans="7:10" ht="18" customHeight="1" x14ac:dyDescent="0.3">
      <c r="G446" s="28"/>
      <c r="H446" s="28"/>
      <c r="I446" s="28"/>
      <c r="J446" s="31"/>
    </row>
    <row r="447" spans="7:10" ht="18" customHeight="1" x14ac:dyDescent="0.3">
      <c r="G447" s="28"/>
      <c r="H447" s="28"/>
      <c r="I447" s="28"/>
      <c r="J447" s="31"/>
    </row>
    <row r="448" spans="7:10" ht="18" customHeight="1" x14ac:dyDescent="0.3">
      <c r="G448" s="28"/>
      <c r="H448" s="28"/>
      <c r="I448" s="28"/>
      <c r="J448" s="31"/>
    </row>
    <row r="449" spans="7:10" ht="18" customHeight="1" x14ac:dyDescent="0.3">
      <c r="G449" s="28"/>
      <c r="H449" s="28"/>
      <c r="I449" s="28"/>
      <c r="J449" s="31"/>
    </row>
    <row r="450" spans="7:10" ht="18" customHeight="1" x14ac:dyDescent="0.3">
      <c r="G450" s="28"/>
      <c r="H450" s="28"/>
      <c r="I450" s="28"/>
      <c r="J450" s="31"/>
    </row>
    <row r="451" spans="7:10" ht="18" customHeight="1" x14ac:dyDescent="0.3">
      <c r="G451" s="28"/>
      <c r="H451" s="28"/>
      <c r="I451" s="28"/>
      <c r="J451" s="31"/>
    </row>
    <row r="452" spans="7:10" ht="18" customHeight="1" x14ac:dyDescent="0.3">
      <c r="G452" s="28"/>
      <c r="H452" s="28"/>
      <c r="I452" s="28"/>
      <c r="J452" s="31"/>
    </row>
    <row r="453" spans="7:10" ht="18" customHeight="1" x14ac:dyDescent="0.3">
      <c r="G453" s="28"/>
      <c r="H453" s="28"/>
      <c r="I453" s="28"/>
      <c r="J453" s="31"/>
    </row>
    <row r="454" spans="7:10" ht="18" customHeight="1" x14ac:dyDescent="0.3">
      <c r="G454" s="28"/>
      <c r="H454" s="28"/>
      <c r="I454" s="28"/>
      <c r="J454" s="31"/>
    </row>
    <row r="455" spans="7:10" ht="18" customHeight="1" x14ac:dyDescent="0.3">
      <c r="G455" s="28"/>
      <c r="H455" s="28"/>
      <c r="I455" s="28"/>
      <c r="J455" s="31"/>
    </row>
    <row r="456" spans="7:10" ht="18" customHeight="1" x14ac:dyDescent="0.3">
      <c r="G456" s="28"/>
      <c r="H456" s="28"/>
      <c r="I456" s="28"/>
      <c r="J456" s="31"/>
    </row>
    <row r="457" spans="7:10" ht="18" customHeight="1" x14ac:dyDescent="0.3">
      <c r="G457" s="28"/>
      <c r="H457" s="28"/>
      <c r="I457" s="28"/>
      <c r="J457" s="31"/>
    </row>
    <row r="458" spans="7:10" ht="18" customHeight="1" x14ac:dyDescent="0.3">
      <c r="G458" s="28"/>
      <c r="H458" s="28"/>
      <c r="I458" s="28"/>
      <c r="J458" s="31"/>
    </row>
    <row r="459" spans="7:10" ht="18" customHeight="1" x14ac:dyDescent="0.3">
      <c r="G459" s="28"/>
      <c r="H459" s="28"/>
      <c r="I459" s="28"/>
      <c r="J459" s="31"/>
    </row>
    <row r="460" spans="7:10" ht="18" customHeight="1" x14ac:dyDescent="0.3">
      <c r="G460" s="28"/>
      <c r="H460" s="28"/>
      <c r="I460" s="28"/>
      <c r="J460" s="31"/>
    </row>
    <row r="461" spans="7:10" ht="18" customHeight="1" x14ac:dyDescent="0.3">
      <c r="G461" s="28"/>
      <c r="H461" s="28"/>
      <c r="I461" s="28"/>
      <c r="J461" s="31"/>
    </row>
    <row r="462" spans="7:10" ht="18" customHeight="1" x14ac:dyDescent="0.3">
      <c r="G462" s="28"/>
      <c r="H462" s="28"/>
      <c r="I462" s="28"/>
      <c r="J462" s="31"/>
    </row>
    <row r="463" spans="7:10" ht="18" customHeight="1" x14ac:dyDescent="0.3">
      <c r="G463" s="28"/>
      <c r="H463" s="28"/>
      <c r="I463" s="28"/>
      <c r="J463" s="31"/>
    </row>
    <row r="464" spans="7:10" ht="18" customHeight="1" x14ac:dyDescent="0.3">
      <c r="G464" s="28"/>
      <c r="H464" s="28"/>
      <c r="I464" s="28"/>
      <c r="J464" s="31"/>
    </row>
    <row r="465" spans="7:10" ht="18" customHeight="1" x14ac:dyDescent="0.3">
      <c r="G465" s="28"/>
      <c r="H465" s="28"/>
      <c r="I465" s="28"/>
      <c r="J465" s="31"/>
    </row>
    <row r="466" spans="7:10" ht="18" customHeight="1" x14ac:dyDescent="0.3">
      <c r="G466" s="28"/>
      <c r="H466" s="28"/>
      <c r="I466" s="28"/>
      <c r="J466" s="31"/>
    </row>
    <row r="467" spans="7:10" ht="18" customHeight="1" x14ac:dyDescent="0.3">
      <c r="G467" s="28"/>
      <c r="H467" s="28"/>
      <c r="I467" s="28"/>
      <c r="J467" s="31"/>
    </row>
    <row r="468" spans="7:10" ht="18" customHeight="1" x14ac:dyDescent="0.3">
      <c r="G468" s="28"/>
      <c r="H468" s="28"/>
      <c r="I468" s="28"/>
      <c r="J468" s="31"/>
    </row>
    <row r="469" spans="7:10" ht="18" customHeight="1" x14ac:dyDescent="0.3">
      <c r="G469" s="28"/>
      <c r="H469" s="28"/>
      <c r="I469" s="28"/>
      <c r="J469" s="31"/>
    </row>
    <row r="470" spans="7:10" ht="18" customHeight="1" x14ac:dyDescent="0.3">
      <c r="G470" s="28"/>
      <c r="H470" s="28"/>
      <c r="I470" s="28"/>
      <c r="J470" s="31"/>
    </row>
    <row r="471" spans="7:10" ht="18" customHeight="1" x14ac:dyDescent="0.3">
      <c r="G471" s="28"/>
      <c r="H471" s="28"/>
      <c r="I471" s="28"/>
      <c r="J471" s="31"/>
    </row>
    <row r="472" spans="7:10" ht="18" customHeight="1" x14ac:dyDescent="0.3">
      <c r="G472" s="28"/>
      <c r="H472" s="28"/>
      <c r="I472" s="28"/>
      <c r="J472" s="31"/>
    </row>
    <row r="473" spans="7:10" ht="18" customHeight="1" x14ac:dyDescent="0.3">
      <c r="G473" s="28"/>
      <c r="H473" s="28"/>
      <c r="I473" s="28"/>
      <c r="J473" s="31"/>
    </row>
    <row r="474" spans="7:10" ht="18" customHeight="1" x14ac:dyDescent="0.3">
      <c r="G474" s="28"/>
      <c r="H474" s="28"/>
      <c r="I474" s="28"/>
      <c r="J474" s="31"/>
    </row>
    <row r="475" spans="7:10" ht="18" customHeight="1" x14ac:dyDescent="0.3">
      <c r="G475" s="28"/>
      <c r="H475" s="28"/>
      <c r="I475" s="28"/>
      <c r="J475" s="31"/>
    </row>
    <row r="476" spans="7:10" ht="18" customHeight="1" x14ac:dyDescent="0.3">
      <c r="G476" s="28"/>
      <c r="H476" s="28"/>
      <c r="I476" s="28"/>
      <c r="J476" s="31"/>
    </row>
    <row r="477" spans="7:10" ht="18" customHeight="1" x14ac:dyDescent="0.3">
      <c r="G477" s="28"/>
      <c r="H477" s="28"/>
      <c r="I477" s="28"/>
      <c r="J477" s="31"/>
    </row>
    <row r="478" spans="7:10" ht="18" customHeight="1" x14ac:dyDescent="0.3">
      <c r="G478" s="28"/>
      <c r="H478" s="28"/>
      <c r="I478" s="28"/>
      <c r="J478" s="31"/>
    </row>
    <row r="479" spans="7:10" ht="18" customHeight="1" x14ac:dyDescent="0.3">
      <c r="G479" s="28"/>
      <c r="H479" s="28"/>
      <c r="I479" s="28"/>
      <c r="J479" s="31"/>
    </row>
    <row r="480" spans="7:10" ht="18" customHeight="1" x14ac:dyDescent="0.3">
      <c r="G480" s="28"/>
      <c r="H480" s="28"/>
      <c r="I480" s="28"/>
      <c r="J480" s="31"/>
    </row>
    <row r="481" spans="7:10" ht="18" customHeight="1" x14ac:dyDescent="0.3">
      <c r="G481" s="28"/>
      <c r="H481" s="28"/>
      <c r="I481" s="28"/>
      <c r="J481" s="31"/>
    </row>
    <row r="482" spans="7:10" ht="18" customHeight="1" x14ac:dyDescent="0.3">
      <c r="G482" s="28"/>
      <c r="H482" s="28"/>
      <c r="I482" s="28"/>
      <c r="J482" s="31"/>
    </row>
    <row r="483" spans="7:10" ht="18" customHeight="1" x14ac:dyDescent="0.3">
      <c r="G483" s="28"/>
      <c r="H483" s="28"/>
      <c r="I483" s="28"/>
      <c r="J483" s="31"/>
    </row>
    <row r="484" spans="7:10" ht="18" customHeight="1" x14ac:dyDescent="0.3">
      <c r="G484" s="28"/>
      <c r="H484" s="28"/>
      <c r="I484" s="28"/>
      <c r="J484" s="31"/>
    </row>
    <row r="485" spans="7:10" ht="18" customHeight="1" x14ac:dyDescent="0.3">
      <c r="G485" s="28"/>
      <c r="H485" s="28"/>
      <c r="I485" s="28"/>
      <c r="J485" s="31"/>
    </row>
    <row r="486" spans="7:10" ht="18" customHeight="1" x14ac:dyDescent="0.3">
      <c r="G486" s="28"/>
      <c r="H486" s="28"/>
      <c r="I486" s="28"/>
      <c r="J486" s="31"/>
    </row>
    <row r="487" spans="7:10" ht="18" customHeight="1" x14ac:dyDescent="0.3">
      <c r="G487" s="28"/>
      <c r="H487" s="28"/>
      <c r="I487" s="28"/>
      <c r="J487" s="31"/>
    </row>
    <row r="488" spans="7:10" ht="18" customHeight="1" x14ac:dyDescent="0.3">
      <c r="G488" s="28"/>
      <c r="H488" s="28"/>
      <c r="I488" s="28"/>
      <c r="J488" s="31"/>
    </row>
    <row r="489" spans="7:10" ht="18" customHeight="1" x14ac:dyDescent="0.3">
      <c r="G489" s="28"/>
      <c r="H489" s="28"/>
      <c r="I489" s="28"/>
      <c r="J489" s="31"/>
    </row>
    <row r="490" spans="7:10" ht="18" customHeight="1" x14ac:dyDescent="0.3">
      <c r="G490" s="28"/>
      <c r="H490" s="28"/>
      <c r="I490" s="28"/>
      <c r="J490" s="31"/>
    </row>
    <row r="491" spans="7:10" ht="18" customHeight="1" x14ac:dyDescent="0.3">
      <c r="G491" s="28"/>
      <c r="H491" s="28"/>
      <c r="I491" s="28"/>
      <c r="J491" s="31"/>
    </row>
    <row r="492" spans="7:10" ht="18" customHeight="1" x14ac:dyDescent="0.3">
      <c r="G492" s="28"/>
      <c r="H492" s="28"/>
      <c r="I492" s="28"/>
      <c r="J492" s="31"/>
    </row>
    <row r="493" spans="7:10" ht="18" customHeight="1" x14ac:dyDescent="0.3">
      <c r="G493" s="28"/>
      <c r="H493" s="28"/>
      <c r="I493" s="28"/>
      <c r="J493" s="31"/>
    </row>
    <row r="494" spans="7:10" ht="18" customHeight="1" x14ac:dyDescent="0.3">
      <c r="G494" s="28"/>
      <c r="H494" s="28"/>
      <c r="I494" s="28"/>
      <c r="J494" s="31"/>
    </row>
    <row r="495" spans="7:10" ht="18" customHeight="1" x14ac:dyDescent="0.3">
      <c r="G495" s="28"/>
      <c r="H495" s="28"/>
      <c r="I495" s="28"/>
      <c r="J495" s="31"/>
    </row>
    <row r="496" spans="7:10" ht="18" customHeight="1" x14ac:dyDescent="0.3">
      <c r="G496" s="28"/>
      <c r="H496" s="28"/>
      <c r="I496" s="28"/>
      <c r="J496" s="31"/>
    </row>
    <row r="497" spans="7:10" ht="18" customHeight="1" x14ac:dyDescent="0.3">
      <c r="G497" s="28"/>
      <c r="H497" s="28"/>
      <c r="I497" s="28"/>
      <c r="J497" s="31"/>
    </row>
    <row r="498" spans="7:10" ht="18" customHeight="1" x14ac:dyDescent="0.3">
      <c r="G498" s="28"/>
      <c r="H498" s="28"/>
      <c r="I498" s="28"/>
      <c r="J498" s="31"/>
    </row>
    <row r="499" spans="7:10" ht="18" customHeight="1" x14ac:dyDescent="0.3">
      <c r="G499" s="28"/>
      <c r="H499" s="28"/>
      <c r="I499" s="28"/>
      <c r="J499" s="31"/>
    </row>
    <row r="500" spans="7:10" ht="18" customHeight="1" x14ac:dyDescent="0.3">
      <c r="G500" s="28"/>
      <c r="H500" s="28"/>
      <c r="I500" s="28"/>
      <c r="J500" s="31"/>
    </row>
    <row r="501" spans="7:10" ht="18" customHeight="1" x14ac:dyDescent="0.3">
      <c r="G501" s="28"/>
      <c r="H501" s="28"/>
      <c r="I501" s="28"/>
      <c r="J501" s="31"/>
    </row>
    <row r="502" spans="7:10" ht="18" customHeight="1" x14ac:dyDescent="0.3">
      <c r="G502" s="28"/>
      <c r="H502" s="28"/>
      <c r="I502" s="28"/>
      <c r="J502" s="31"/>
    </row>
    <row r="503" spans="7:10" ht="18" customHeight="1" x14ac:dyDescent="0.3">
      <c r="G503" s="28"/>
      <c r="H503" s="28"/>
      <c r="I503" s="28"/>
      <c r="J503" s="31"/>
    </row>
    <row r="504" spans="7:10" ht="18" customHeight="1" x14ac:dyDescent="0.3">
      <c r="G504" s="28"/>
      <c r="H504" s="28"/>
      <c r="I504" s="28"/>
      <c r="J504" s="31"/>
    </row>
    <row r="505" spans="7:10" ht="18" customHeight="1" x14ac:dyDescent="0.3">
      <c r="G505" s="28"/>
      <c r="H505" s="28"/>
      <c r="I505" s="28"/>
      <c r="J505" s="31"/>
    </row>
    <row r="506" spans="7:10" ht="18" customHeight="1" x14ac:dyDescent="0.3">
      <c r="G506" s="28"/>
      <c r="H506" s="28"/>
      <c r="I506" s="28"/>
      <c r="J506" s="31"/>
    </row>
    <row r="507" spans="7:10" ht="18" customHeight="1" x14ac:dyDescent="0.3">
      <c r="G507" s="28"/>
      <c r="H507" s="28"/>
      <c r="I507" s="28"/>
      <c r="J507" s="31"/>
    </row>
    <row r="508" spans="7:10" ht="18" customHeight="1" x14ac:dyDescent="0.3">
      <c r="G508" s="28"/>
      <c r="H508" s="28"/>
      <c r="I508" s="28"/>
      <c r="J508" s="31"/>
    </row>
    <row r="509" spans="7:10" ht="18" customHeight="1" x14ac:dyDescent="0.3">
      <c r="G509" s="28"/>
      <c r="H509" s="28"/>
      <c r="I509" s="28"/>
      <c r="J509" s="31"/>
    </row>
    <row r="510" spans="7:10" ht="18" customHeight="1" x14ac:dyDescent="0.3">
      <c r="G510" s="28"/>
      <c r="H510" s="28"/>
      <c r="I510" s="28"/>
      <c r="J510" s="31"/>
    </row>
    <row r="511" spans="7:10" ht="18" customHeight="1" x14ac:dyDescent="0.3">
      <c r="G511" s="28"/>
      <c r="H511" s="28"/>
      <c r="I511" s="28"/>
      <c r="J511" s="31"/>
    </row>
    <row r="512" spans="7:10" ht="18" customHeight="1" x14ac:dyDescent="0.3">
      <c r="G512" s="28"/>
      <c r="H512" s="28"/>
      <c r="I512" s="28"/>
      <c r="J512" s="31"/>
    </row>
    <row r="513" spans="7:10" ht="18" customHeight="1" x14ac:dyDescent="0.3">
      <c r="G513" s="28"/>
      <c r="H513" s="28"/>
      <c r="I513" s="28"/>
      <c r="J513" s="31"/>
    </row>
    <row r="514" spans="7:10" ht="18" customHeight="1" x14ac:dyDescent="0.3">
      <c r="G514" s="28"/>
      <c r="H514" s="28"/>
      <c r="I514" s="28"/>
      <c r="J514" s="31"/>
    </row>
    <row r="515" spans="7:10" ht="18" customHeight="1" x14ac:dyDescent="0.3">
      <c r="G515" s="28"/>
      <c r="H515" s="28"/>
      <c r="I515" s="28"/>
      <c r="J515" s="31"/>
    </row>
    <row r="516" spans="7:10" ht="18" customHeight="1" x14ac:dyDescent="0.3">
      <c r="G516" s="28"/>
      <c r="H516" s="28"/>
      <c r="I516" s="28"/>
      <c r="J516" s="31"/>
    </row>
    <row r="517" spans="7:10" ht="18" customHeight="1" x14ac:dyDescent="0.3">
      <c r="G517" s="28"/>
      <c r="H517" s="28"/>
      <c r="I517" s="28"/>
      <c r="J517" s="31"/>
    </row>
    <row r="518" spans="7:10" ht="18" customHeight="1" x14ac:dyDescent="0.3">
      <c r="G518" s="28"/>
      <c r="H518" s="28"/>
      <c r="I518" s="28"/>
      <c r="J518" s="31"/>
    </row>
    <row r="519" spans="7:10" ht="18" customHeight="1" x14ac:dyDescent="0.3">
      <c r="G519" s="28"/>
      <c r="H519" s="28"/>
      <c r="I519" s="28"/>
      <c r="J519" s="31"/>
    </row>
    <row r="520" spans="7:10" ht="18" customHeight="1" x14ac:dyDescent="0.3">
      <c r="G520" s="28"/>
      <c r="H520" s="28"/>
      <c r="I520" s="28"/>
      <c r="J520" s="31"/>
    </row>
    <row r="521" spans="7:10" ht="18" customHeight="1" x14ac:dyDescent="0.3">
      <c r="G521" s="28"/>
      <c r="H521" s="28"/>
      <c r="I521" s="28"/>
      <c r="J521" s="31"/>
    </row>
    <row r="522" spans="7:10" ht="18" customHeight="1" x14ac:dyDescent="0.3">
      <c r="G522" s="28"/>
      <c r="H522" s="28"/>
      <c r="I522" s="28"/>
      <c r="J522" s="31"/>
    </row>
    <row r="523" spans="7:10" ht="18" customHeight="1" x14ac:dyDescent="0.3">
      <c r="G523" s="28"/>
      <c r="H523" s="28"/>
      <c r="I523" s="28"/>
      <c r="J523" s="31"/>
    </row>
    <row r="524" spans="7:10" ht="18" customHeight="1" x14ac:dyDescent="0.3">
      <c r="G524" s="28"/>
      <c r="H524" s="28"/>
      <c r="I524" s="28"/>
      <c r="J524" s="31"/>
    </row>
    <row r="525" spans="7:10" ht="18" customHeight="1" x14ac:dyDescent="0.3">
      <c r="G525" s="28"/>
      <c r="H525" s="28"/>
      <c r="I525" s="28"/>
      <c r="J525" s="31"/>
    </row>
    <row r="526" spans="7:10" ht="18" customHeight="1" x14ac:dyDescent="0.3">
      <c r="G526" s="28"/>
      <c r="H526" s="28"/>
      <c r="I526" s="28"/>
      <c r="J526" s="31"/>
    </row>
    <row r="527" spans="7:10" ht="18" customHeight="1" x14ac:dyDescent="0.3">
      <c r="G527" s="28"/>
      <c r="H527" s="28"/>
      <c r="I527" s="28"/>
      <c r="J527" s="31"/>
    </row>
    <row r="528" spans="7:10" ht="18" customHeight="1" x14ac:dyDescent="0.3">
      <c r="G528" s="28"/>
      <c r="H528" s="28"/>
      <c r="I528" s="28"/>
      <c r="J528" s="31"/>
    </row>
    <row r="529" spans="7:10" ht="18" customHeight="1" x14ac:dyDescent="0.3">
      <c r="G529" s="28"/>
      <c r="H529" s="28"/>
      <c r="I529" s="28"/>
      <c r="J529" s="31"/>
    </row>
    <row r="530" spans="7:10" ht="18" customHeight="1" x14ac:dyDescent="0.3">
      <c r="G530" s="28"/>
      <c r="H530" s="28"/>
      <c r="I530" s="28"/>
      <c r="J530" s="31"/>
    </row>
    <row r="531" spans="7:10" ht="18" customHeight="1" x14ac:dyDescent="0.3">
      <c r="G531" s="28"/>
      <c r="H531" s="28"/>
      <c r="I531" s="28"/>
      <c r="J531" s="31"/>
    </row>
    <row r="532" spans="7:10" ht="18" customHeight="1" x14ac:dyDescent="0.3">
      <c r="G532" s="28"/>
      <c r="H532" s="28"/>
      <c r="I532" s="28"/>
      <c r="J532" s="31"/>
    </row>
    <row r="533" spans="7:10" ht="18" customHeight="1" x14ac:dyDescent="0.3">
      <c r="G533" s="28"/>
      <c r="H533" s="28"/>
      <c r="I533" s="28"/>
      <c r="J533" s="31"/>
    </row>
    <row r="534" spans="7:10" ht="18" customHeight="1" x14ac:dyDescent="0.3">
      <c r="G534" s="28"/>
      <c r="H534" s="28"/>
      <c r="I534" s="28"/>
      <c r="J534" s="31"/>
    </row>
    <row r="535" spans="7:10" ht="18" customHeight="1" x14ac:dyDescent="0.3">
      <c r="G535" s="28"/>
      <c r="H535" s="28"/>
      <c r="I535" s="28"/>
      <c r="J535" s="31"/>
    </row>
    <row r="536" spans="7:10" ht="18" customHeight="1" x14ac:dyDescent="0.3">
      <c r="G536" s="28"/>
      <c r="H536" s="28"/>
      <c r="I536" s="28"/>
      <c r="J536" s="31"/>
    </row>
    <row r="537" spans="7:10" ht="18" customHeight="1" x14ac:dyDescent="0.3">
      <c r="G537" s="28"/>
      <c r="H537" s="28"/>
      <c r="I537" s="28"/>
      <c r="J537" s="31"/>
    </row>
    <row r="538" spans="7:10" ht="18" customHeight="1" x14ac:dyDescent="0.3">
      <c r="G538" s="28"/>
      <c r="H538" s="28"/>
      <c r="I538" s="28"/>
      <c r="J538" s="31"/>
    </row>
    <row r="539" spans="7:10" ht="18" customHeight="1" x14ac:dyDescent="0.3">
      <c r="G539" s="28"/>
      <c r="H539" s="28"/>
      <c r="I539" s="28"/>
      <c r="J539" s="31"/>
    </row>
    <row r="540" spans="7:10" ht="18" customHeight="1" x14ac:dyDescent="0.3">
      <c r="G540" s="28"/>
      <c r="H540" s="28"/>
      <c r="I540" s="28"/>
      <c r="J540" s="31"/>
    </row>
    <row r="541" spans="7:10" ht="18" customHeight="1" x14ac:dyDescent="0.3">
      <c r="G541" s="28"/>
      <c r="H541" s="28"/>
      <c r="I541" s="28"/>
      <c r="J541" s="31"/>
    </row>
    <row r="542" spans="7:10" ht="18" customHeight="1" x14ac:dyDescent="0.3">
      <c r="G542" s="28"/>
      <c r="H542" s="28"/>
      <c r="I542" s="28"/>
      <c r="J542" s="31"/>
    </row>
    <row r="543" spans="7:10" ht="18" customHeight="1" x14ac:dyDescent="0.3">
      <c r="G543" s="28"/>
      <c r="H543" s="28"/>
      <c r="I543" s="28"/>
      <c r="J543" s="31"/>
    </row>
    <row r="544" spans="7:10" ht="18" customHeight="1" x14ac:dyDescent="0.3">
      <c r="G544" s="28"/>
      <c r="H544" s="28"/>
      <c r="I544" s="28"/>
      <c r="J544" s="31"/>
    </row>
    <row r="545" spans="7:10" ht="18" customHeight="1" x14ac:dyDescent="0.3">
      <c r="G545" s="28"/>
      <c r="H545" s="28"/>
      <c r="I545" s="28"/>
      <c r="J545" s="31"/>
    </row>
    <row r="546" spans="7:10" ht="18" customHeight="1" x14ac:dyDescent="0.3">
      <c r="G546" s="28"/>
      <c r="H546" s="28"/>
      <c r="I546" s="28"/>
      <c r="J546" s="31"/>
    </row>
    <row r="547" spans="7:10" ht="18" customHeight="1" x14ac:dyDescent="0.3">
      <c r="G547" s="28"/>
      <c r="H547" s="28"/>
      <c r="I547" s="28"/>
      <c r="J547" s="31"/>
    </row>
    <row r="548" spans="7:10" ht="18" customHeight="1" x14ac:dyDescent="0.3">
      <c r="G548" s="28"/>
      <c r="H548" s="28"/>
      <c r="I548" s="28"/>
      <c r="J548" s="31"/>
    </row>
    <row r="549" spans="7:10" ht="18" customHeight="1" x14ac:dyDescent="0.3">
      <c r="G549" s="28"/>
      <c r="H549" s="28"/>
      <c r="I549" s="28"/>
      <c r="J549" s="31"/>
    </row>
    <row r="550" spans="7:10" ht="18" customHeight="1" x14ac:dyDescent="0.3">
      <c r="G550" s="28"/>
      <c r="H550" s="28"/>
      <c r="I550" s="28"/>
      <c r="J550" s="31"/>
    </row>
    <row r="551" spans="7:10" ht="18" customHeight="1" x14ac:dyDescent="0.3">
      <c r="G551" s="28"/>
      <c r="H551" s="28"/>
      <c r="I551" s="28"/>
      <c r="J551" s="31"/>
    </row>
    <row r="552" spans="7:10" ht="18" customHeight="1" x14ac:dyDescent="0.3">
      <c r="G552" s="28"/>
      <c r="H552" s="28"/>
      <c r="I552" s="28"/>
      <c r="J552" s="31"/>
    </row>
    <row r="553" spans="7:10" ht="18" customHeight="1" x14ac:dyDescent="0.3">
      <c r="G553" s="28"/>
      <c r="H553" s="28"/>
      <c r="I553" s="28"/>
      <c r="J553" s="31"/>
    </row>
    <row r="554" spans="7:10" ht="18" customHeight="1" x14ac:dyDescent="0.3">
      <c r="G554" s="28"/>
      <c r="H554" s="28"/>
      <c r="I554" s="28"/>
      <c r="J554" s="31"/>
    </row>
    <row r="555" spans="7:10" ht="18" customHeight="1" x14ac:dyDescent="0.3">
      <c r="G555" s="28"/>
      <c r="H555" s="28"/>
      <c r="I555" s="28"/>
      <c r="J555" s="31"/>
    </row>
    <row r="556" spans="7:10" ht="18" customHeight="1" x14ac:dyDescent="0.3">
      <c r="G556" s="28"/>
      <c r="H556" s="28"/>
      <c r="I556" s="28"/>
      <c r="J556" s="31"/>
    </row>
    <row r="557" spans="7:10" ht="18" customHeight="1" x14ac:dyDescent="0.3">
      <c r="G557" s="28"/>
      <c r="H557" s="28"/>
      <c r="I557" s="28"/>
      <c r="J557" s="31"/>
    </row>
    <row r="558" spans="7:10" ht="18" customHeight="1" x14ac:dyDescent="0.3">
      <c r="G558" s="28"/>
      <c r="H558" s="28"/>
      <c r="I558" s="28"/>
      <c r="J558" s="31"/>
    </row>
    <row r="559" spans="7:10" ht="18" customHeight="1" x14ac:dyDescent="0.3">
      <c r="G559" s="28"/>
      <c r="H559" s="28"/>
      <c r="I559" s="28"/>
      <c r="J559" s="31"/>
    </row>
    <row r="560" spans="7:10" ht="18" customHeight="1" x14ac:dyDescent="0.3">
      <c r="G560" s="28"/>
      <c r="H560" s="28"/>
      <c r="I560" s="28"/>
      <c r="J560" s="31"/>
    </row>
    <row r="561" spans="7:10" ht="18" customHeight="1" x14ac:dyDescent="0.3">
      <c r="G561" s="28"/>
      <c r="H561" s="28"/>
      <c r="I561" s="28"/>
      <c r="J561" s="31"/>
    </row>
    <row r="562" spans="7:10" ht="18" customHeight="1" x14ac:dyDescent="0.3">
      <c r="G562" s="28"/>
      <c r="H562" s="28"/>
      <c r="I562" s="28"/>
      <c r="J562" s="31"/>
    </row>
    <row r="563" spans="7:10" ht="18" customHeight="1" x14ac:dyDescent="0.3">
      <c r="G563" s="28"/>
      <c r="H563" s="28"/>
      <c r="I563" s="28"/>
      <c r="J563" s="31"/>
    </row>
    <row r="564" spans="7:10" ht="18" customHeight="1" x14ac:dyDescent="0.3">
      <c r="G564" s="28"/>
      <c r="H564" s="28"/>
      <c r="I564" s="28"/>
      <c r="J564" s="31"/>
    </row>
    <row r="565" spans="7:10" ht="18" customHeight="1" x14ac:dyDescent="0.3">
      <c r="G565" s="28"/>
      <c r="H565" s="28"/>
      <c r="I565" s="28"/>
      <c r="J565" s="31"/>
    </row>
    <row r="566" spans="7:10" ht="18" customHeight="1" x14ac:dyDescent="0.3">
      <c r="G566" s="28"/>
      <c r="H566" s="28"/>
      <c r="I566" s="28"/>
      <c r="J566" s="31"/>
    </row>
    <row r="567" spans="7:10" ht="18" customHeight="1" x14ac:dyDescent="0.3">
      <c r="G567" s="28"/>
      <c r="H567" s="28"/>
      <c r="I567" s="28"/>
      <c r="J567" s="31"/>
    </row>
    <row r="568" spans="7:10" ht="18" customHeight="1" x14ac:dyDescent="0.3">
      <c r="G568" s="28"/>
      <c r="H568" s="28"/>
      <c r="I568" s="28"/>
      <c r="J568" s="31"/>
    </row>
    <row r="569" spans="7:10" ht="18" customHeight="1" x14ac:dyDescent="0.3">
      <c r="G569" s="28"/>
      <c r="H569" s="28"/>
      <c r="I569" s="28"/>
      <c r="J569" s="31"/>
    </row>
    <row r="570" spans="7:10" ht="18" customHeight="1" x14ac:dyDescent="0.3">
      <c r="G570" s="28"/>
      <c r="H570" s="28"/>
      <c r="I570" s="28"/>
      <c r="J570" s="31"/>
    </row>
    <row r="571" spans="7:10" ht="18" customHeight="1" x14ac:dyDescent="0.3">
      <c r="G571" s="28"/>
      <c r="H571" s="28"/>
      <c r="I571" s="28"/>
      <c r="J571" s="31"/>
    </row>
    <row r="572" spans="7:10" ht="18" customHeight="1" x14ac:dyDescent="0.3">
      <c r="G572" s="28"/>
      <c r="H572" s="28"/>
      <c r="I572" s="28"/>
      <c r="J572" s="31"/>
    </row>
    <row r="573" spans="7:10" ht="18" customHeight="1" x14ac:dyDescent="0.3">
      <c r="G573" s="28"/>
      <c r="H573" s="28"/>
      <c r="I573" s="28"/>
      <c r="J573" s="31"/>
    </row>
    <row r="574" spans="7:10" ht="18" customHeight="1" x14ac:dyDescent="0.3">
      <c r="G574" s="28"/>
      <c r="H574" s="28"/>
      <c r="I574" s="28"/>
      <c r="J574" s="31"/>
    </row>
    <row r="575" spans="7:10" ht="18" customHeight="1" x14ac:dyDescent="0.3">
      <c r="G575" s="28"/>
      <c r="H575" s="28"/>
      <c r="I575" s="28"/>
      <c r="J575" s="31"/>
    </row>
    <row r="576" spans="7:10" ht="18" customHeight="1" x14ac:dyDescent="0.3">
      <c r="G576" s="28"/>
      <c r="H576" s="28"/>
      <c r="I576" s="28"/>
      <c r="J576" s="31"/>
    </row>
    <row r="577" spans="7:10" ht="18" customHeight="1" x14ac:dyDescent="0.3">
      <c r="G577" s="28"/>
      <c r="H577" s="28"/>
      <c r="I577" s="28"/>
      <c r="J577" s="31"/>
    </row>
    <row r="578" spans="7:10" ht="18" customHeight="1" x14ac:dyDescent="0.3">
      <c r="G578" s="28"/>
      <c r="H578" s="28"/>
      <c r="I578" s="28"/>
      <c r="J578" s="31"/>
    </row>
    <row r="579" spans="7:10" ht="18" customHeight="1" x14ac:dyDescent="0.3">
      <c r="G579" s="28"/>
      <c r="H579" s="28"/>
      <c r="I579" s="28"/>
      <c r="J579" s="31"/>
    </row>
    <row r="580" spans="7:10" ht="18" customHeight="1" x14ac:dyDescent="0.3">
      <c r="G580" s="28"/>
      <c r="H580" s="28"/>
      <c r="I580" s="28"/>
      <c r="J580" s="31"/>
    </row>
    <row r="581" spans="7:10" ht="18" customHeight="1" x14ac:dyDescent="0.3">
      <c r="G581" s="28"/>
      <c r="H581" s="28"/>
      <c r="I581" s="28"/>
      <c r="J581" s="31"/>
    </row>
    <row r="582" spans="7:10" ht="18" customHeight="1" x14ac:dyDescent="0.3">
      <c r="G582" s="28"/>
      <c r="H582" s="28"/>
      <c r="I582" s="28"/>
      <c r="J582" s="31"/>
    </row>
    <row r="583" spans="7:10" ht="18" customHeight="1" x14ac:dyDescent="0.3">
      <c r="G583" s="28"/>
      <c r="H583" s="28"/>
      <c r="I583" s="28"/>
      <c r="J583" s="31"/>
    </row>
    <row r="584" spans="7:10" ht="18" customHeight="1" x14ac:dyDescent="0.3">
      <c r="G584" s="28"/>
      <c r="H584" s="28"/>
      <c r="I584" s="28"/>
      <c r="J584" s="31"/>
    </row>
    <row r="585" spans="7:10" ht="18" customHeight="1" x14ac:dyDescent="0.3">
      <c r="G585" s="28"/>
      <c r="H585" s="28"/>
      <c r="I585" s="28"/>
      <c r="J585" s="31"/>
    </row>
    <row r="586" spans="7:10" ht="18" customHeight="1" x14ac:dyDescent="0.3">
      <c r="G586" s="28"/>
      <c r="H586" s="28"/>
      <c r="I586" s="28"/>
      <c r="J586" s="31"/>
    </row>
    <row r="587" spans="7:10" ht="18" customHeight="1" x14ac:dyDescent="0.3">
      <c r="G587" s="28"/>
      <c r="H587" s="28"/>
      <c r="I587" s="28"/>
      <c r="J587" s="31"/>
    </row>
    <row r="588" spans="7:10" ht="18" customHeight="1" x14ac:dyDescent="0.3">
      <c r="G588" s="28"/>
      <c r="H588" s="28"/>
      <c r="I588" s="28"/>
      <c r="J588" s="31"/>
    </row>
    <row r="589" spans="7:10" ht="18" customHeight="1" x14ac:dyDescent="0.3">
      <c r="G589" s="28"/>
      <c r="H589" s="28"/>
      <c r="I589" s="28"/>
      <c r="J589" s="31"/>
    </row>
    <row r="590" spans="7:10" ht="18" customHeight="1" x14ac:dyDescent="0.3">
      <c r="G590" s="28"/>
      <c r="H590" s="28"/>
      <c r="I590" s="28"/>
      <c r="J590" s="31"/>
    </row>
    <row r="591" spans="7:10" ht="18" customHeight="1" x14ac:dyDescent="0.3">
      <c r="G591" s="28"/>
      <c r="H591" s="28"/>
      <c r="I591" s="28"/>
      <c r="J591" s="31"/>
    </row>
    <row r="592" spans="7:10" ht="18" customHeight="1" x14ac:dyDescent="0.3">
      <c r="G592" s="28"/>
      <c r="H592" s="28"/>
      <c r="I592" s="28"/>
      <c r="J592" s="31"/>
    </row>
    <row r="593" spans="7:10" ht="18" customHeight="1" x14ac:dyDescent="0.3">
      <c r="G593" s="28"/>
      <c r="H593" s="28"/>
      <c r="I593" s="28"/>
      <c r="J593" s="31"/>
    </row>
    <row r="594" spans="7:10" ht="18" customHeight="1" x14ac:dyDescent="0.3">
      <c r="G594" s="28"/>
      <c r="H594" s="28"/>
      <c r="I594" s="28"/>
      <c r="J594" s="31"/>
    </row>
    <row r="595" spans="7:10" ht="18" customHeight="1" x14ac:dyDescent="0.3">
      <c r="G595" s="28"/>
      <c r="H595" s="28"/>
      <c r="I595" s="28"/>
      <c r="J595" s="31"/>
    </row>
    <row r="596" spans="7:10" ht="18" customHeight="1" x14ac:dyDescent="0.3">
      <c r="G596" s="28"/>
      <c r="H596" s="28"/>
      <c r="I596" s="28"/>
      <c r="J596" s="31"/>
    </row>
    <row r="597" spans="7:10" ht="18" customHeight="1" x14ac:dyDescent="0.3">
      <c r="G597" s="28"/>
      <c r="H597" s="28"/>
      <c r="I597" s="28"/>
      <c r="J597" s="31"/>
    </row>
    <row r="598" spans="7:10" ht="18" customHeight="1" x14ac:dyDescent="0.3">
      <c r="G598" s="28"/>
      <c r="H598" s="28"/>
      <c r="I598" s="28"/>
      <c r="J598" s="31"/>
    </row>
    <row r="599" spans="7:10" ht="18" customHeight="1" x14ac:dyDescent="0.3">
      <c r="G599" s="28"/>
      <c r="H599" s="28"/>
      <c r="I599" s="28"/>
      <c r="J599" s="31"/>
    </row>
    <row r="600" spans="7:10" ht="18" customHeight="1" x14ac:dyDescent="0.3">
      <c r="G600" s="28"/>
      <c r="H600" s="28"/>
      <c r="I600" s="28"/>
      <c r="J600" s="31"/>
    </row>
    <row r="601" spans="7:10" ht="18" customHeight="1" x14ac:dyDescent="0.3">
      <c r="G601" s="28"/>
      <c r="H601" s="28"/>
      <c r="I601" s="28"/>
      <c r="J601" s="31"/>
    </row>
    <row r="602" spans="7:10" ht="18" customHeight="1" x14ac:dyDescent="0.3">
      <c r="G602" s="28"/>
      <c r="H602" s="28"/>
      <c r="I602" s="28"/>
      <c r="J602" s="31"/>
    </row>
    <row r="603" spans="7:10" ht="18" customHeight="1" x14ac:dyDescent="0.3">
      <c r="G603" s="28"/>
      <c r="H603" s="28"/>
      <c r="I603" s="28"/>
      <c r="J603" s="31"/>
    </row>
    <row r="604" spans="7:10" ht="18" customHeight="1" x14ac:dyDescent="0.3">
      <c r="G604" s="28"/>
      <c r="H604" s="28"/>
      <c r="I604" s="28"/>
      <c r="J604" s="31"/>
    </row>
    <row r="605" spans="7:10" ht="18" customHeight="1" x14ac:dyDescent="0.3">
      <c r="G605" s="28"/>
      <c r="H605" s="28"/>
      <c r="I605" s="28"/>
      <c r="J605" s="31"/>
    </row>
    <row r="606" spans="7:10" ht="18" customHeight="1" x14ac:dyDescent="0.3">
      <c r="G606" s="28"/>
      <c r="H606" s="28"/>
      <c r="I606" s="28"/>
      <c r="J606" s="31"/>
    </row>
    <row r="607" spans="7:10" ht="18" customHeight="1" x14ac:dyDescent="0.3">
      <c r="G607" s="28"/>
      <c r="H607" s="28"/>
      <c r="I607" s="28"/>
      <c r="J607" s="31"/>
    </row>
    <row r="608" spans="7:10" ht="18" customHeight="1" x14ac:dyDescent="0.3">
      <c r="G608" s="28"/>
      <c r="H608" s="28"/>
      <c r="I608" s="28"/>
      <c r="J608" s="31"/>
    </row>
    <row r="609" spans="7:10" ht="18" customHeight="1" x14ac:dyDescent="0.3">
      <c r="G609" s="28"/>
      <c r="H609" s="28"/>
      <c r="I609" s="28"/>
      <c r="J609" s="31"/>
    </row>
    <row r="610" spans="7:10" ht="18" customHeight="1" x14ac:dyDescent="0.3">
      <c r="G610" s="28"/>
      <c r="H610" s="28"/>
      <c r="I610" s="28"/>
      <c r="J610" s="31"/>
    </row>
    <row r="611" spans="7:10" ht="18" customHeight="1" x14ac:dyDescent="0.3">
      <c r="G611" s="28"/>
      <c r="H611" s="28"/>
      <c r="I611" s="28"/>
      <c r="J611" s="31"/>
    </row>
    <row r="612" spans="7:10" ht="18" customHeight="1" x14ac:dyDescent="0.3">
      <c r="G612" s="28"/>
      <c r="H612" s="28"/>
      <c r="I612" s="28"/>
      <c r="J612" s="31"/>
    </row>
    <row r="613" spans="7:10" ht="18" customHeight="1" x14ac:dyDescent="0.3">
      <c r="G613" s="28"/>
      <c r="H613" s="28"/>
      <c r="I613" s="28"/>
      <c r="J613" s="31"/>
    </row>
    <row r="614" spans="7:10" ht="18" customHeight="1" x14ac:dyDescent="0.3">
      <c r="G614" s="28"/>
      <c r="H614" s="28"/>
      <c r="I614" s="28"/>
      <c r="J614" s="31"/>
    </row>
    <row r="615" spans="7:10" ht="18" customHeight="1" x14ac:dyDescent="0.3">
      <c r="G615" s="28"/>
      <c r="H615" s="28"/>
      <c r="I615" s="28"/>
      <c r="J615" s="31"/>
    </row>
    <row r="616" spans="7:10" ht="18" customHeight="1" x14ac:dyDescent="0.3">
      <c r="G616" s="28"/>
      <c r="H616" s="28"/>
      <c r="I616" s="28"/>
      <c r="J616" s="31"/>
    </row>
    <row r="617" spans="7:10" ht="18" customHeight="1" x14ac:dyDescent="0.3">
      <c r="G617" s="28"/>
      <c r="H617" s="28"/>
      <c r="I617" s="28"/>
      <c r="J617" s="31"/>
    </row>
    <row r="618" spans="7:10" ht="18" customHeight="1" x14ac:dyDescent="0.3">
      <c r="G618" s="28"/>
      <c r="H618" s="28"/>
      <c r="I618" s="28"/>
      <c r="J618" s="31"/>
    </row>
    <row r="619" spans="7:10" ht="18" customHeight="1" x14ac:dyDescent="0.3">
      <c r="G619" s="28"/>
      <c r="H619" s="28"/>
      <c r="I619" s="28"/>
      <c r="J619" s="31"/>
    </row>
    <row r="620" spans="7:10" ht="18" customHeight="1" x14ac:dyDescent="0.3">
      <c r="G620" s="28"/>
      <c r="H620" s="28"/>
      <c r="I620" s="28"/>
      <c r="J620" s="31"/>
    </row>
    <row r="621" spans="7:10" ht="18" customHeight="1" x14ac:dyDescent="0.3">
      <c r="G621" s="28"/>
      <c r="H621" s="28"/>
      <c r="I621" s="28"/>
      <c r="J621" s="31"/>
    </row>
    <row r="622" spans="7:10" ht="18" customHeight="1" x14ac:dyDescent="0.3">
      <c r="G622" s="28"/>
      <c r="H622" s="28"/>
      <c r="I622" s="28"/>
      <c r="J622" s="31"/>
    </row>
    <row r="623" spans="7:10" ht="18" customHeight="1" x14ac:dyDescent="0.3">
      <c r="G623" s="28"/>
      <c r="H623" s="28"/>
      <c r="I623" s="28"/>
      <c r="J623" s="31"/>
    </row>
    <row r="624" spans="7:10" ht="18" customHeight="1" x14ac:dyDescent="0.3">
      <c r="G624" s="28"/>
      <c r="H624" s="28"/>
      <c r="I624" s="28"/>
      <c r="J624" s="31"/>
    </row>
    <row r="625" spans="7:10" ht="18" customHeight="1" x14ac:dyDescent="0.3">
      <c r="G625" s="28"/>
      <c r="H625" s="28"/>
      <c r="I625" s="28"/>
      <c r="J625" s="31"/>
    </row>
    <row r="626" spans="7:10" ht="18" customHeight="1" x14ac:dyDescent="0.3">
      <c r="G626" s="28"/>
      <c r="H626" s="28"/>
      <c r="I626" s="28"/>
      <c r="J626" s="31"/>
    </row>
    <row r="627" spans="7:10" ht="18" customHeight="1" x14ac:dyDescent="0.3">
      <c r="G627" s="28"/>
      <c r="H627" s="28"/>
      <c r="I627" s="28"/>
      <c r="J627" s="31"/>
    </row>
    <row r="628" spans="7:10" ht="18" customHeight="1" x14ac:dyDescent="0.3">
      <c r="G628" s="28"/>
      <c r="H628" s="28"/>
      <c r="I628" s="28"/>
      <c r="J628" s="31"/>
    </row>
    <row r="629" spans="7:10" ht="18" customHeight="1" x14ac:dyDescent="0.3">
      <c r="G629" s="28"/>
      <c r="H629" s="28"/>
      <c r="I629" s="28"/>
      <c r="J629" s="31"/>
    </row>
    <row r="630" spans="7:10" ht="18" customHeight="1" x14ac:dyDescent="0.3">
      <c r="G630" s="28"/>
      <c r="H630" s="28"/>
      <c r="I630" s="28"/>
      <c r="J630" s="31"/>
    </row>
    <row r="631" spans="7:10" ht="18" customHeight="1" x14ac:dyDescent="0.3">
      <c r="G631" s="28"/>
      <c r="H631" s="28"/>
      <c r="I631" s="28"/>
      <c r="J631" s="31"/>
    </row>
    <row r="632" spans="7:10" ht="18" customHeight="1" x14ac:dyDescent="0.3">
      <c r="G632" s="28"/>
      <c r="H632" s="28"/>
      <c r="I632" s="28"/>
      <c r="J632" s="31"/>
    </row>
    <row r="633" spans="7:10" ht="18" customHeight="1" x14ac:dyDescent="0.3">
      <c r="G633" s="28"/>
      <c r="H633" s="28"/>
      <c r="I633" s="28"/>
      <c r="J633" s="31"/>
    </row>
    <row r="634" spans="7:10" ht="18" customHeight="1" x14ac:dyDescent="0.3">
      <c r="G634" s="28"/>
      <c r="H634" s="28"/>
      <c r="I634" s="28"/>
      <c r="J634" s="31"/>
    </row>
    <row r="635" spans="7:10" ht="18" customHeight="1" x14ac:dyDescent="0.3">
      <c r="G635" s="28"/>
      <c r="H635" s="28"/>
      <c r="I635" s="28"/>
      <c r="J635" s="31"/>
    </row>
    <row r="636" spans="7:10" ht="18" customHeight="1" x14ac:dyDescent="0.3">
      <c r="G636" s="28"/>
      <c r="H636" s="28"/>
      <c r="I636" s="28"/>
      <c r="J636" s="31"/>
    </row>
    <row r="637" spans="7:10" ht="18" customHeight="1" x14ac:dyDescent="0.3">
      <c r="G637" s="28"/>
      <c r="H637" s="28"/>
      <c r="I637" s="28"/>
      <c r="J637" s="31"/>
    </row>
    <row r="638" spans="7:10" ht="18" customHeight="1" x14ac:dyDescent="0.3">
      <c r="G638" s="28"/>
      <c r="H638" s="28"/>
      <c r="I638" s="28"/>
      <c r="J638" s="31"/>
    </row>
    <row r="639" spans="7:10" ht="18" customHeight="1" x14ac:dyDescent="0.3">
      <c r="G639" s="28"/>
      <c r="H639" s="28"/>
      <c r="I639" s="28"/>
      <c r="J639" s="31"/>
    </row>
    <row r="640" spans="7:10" ht="18" customHeight="1" x14ac:dyDescent="0.3">
      <c r="G640" s="28"/>
      <c r="H640" s="28"/>
      <c r="I640" s="28"/>
      <c r="J640" s="31"/>
    </row>
    <row r="641" spans="7:10" ht="18" customHeight="1" x14ac:dyDescent="0.3">
      <c r="G641" s="28"/>
      <c r="H641" s="28"/>
      <c r="I641" s="28"/>
      <c r="J641" s="31"/>
    </row>
    <row r="642" spans="7:10" ht="18" customHeight="1" x14ac:dyDescent="0.3">
      <c r="G642" s="28"/>
      <c r="H642" s="28"/>
      <c r="I642" s="28"/>
      <c r="J642" s="31"/>
    </row>
    <row r="643" spans="7:10" ht="18" customHeight="1" x14ac:dyDescent="0.3">
      <c r="G643" s="28"/>
      <c r="H643" s="28"/>
      <c r="I643" s="28"/>
      <c r="J643" s="31"/>
    </row>
    <row r="644" spans="7:10" ht="18" customHeight="1" x14ac:dyDescent="0.3">
      <c r="G644" s="28"/>
      <c r="H644" s="28"/>
      <c r="I644" s="28"/>
      <c r="J644" s="31"/>
    </row>
    <row r="645" spans="7:10" ht="18" customHeight="1" x14ac:dyDescent="0.3">
      <c r="G645" s="28"/>
      <c r="H645" s="28"/>
      <c r="I645" s="28"/>
      <c r="J645" s="31"/>
    </row>
    <row r="646" spans="7:10" ht="18" customHeight="1" x14ac:dyDescent="0.3">
      <c r="G646" s="28"/>
      <c r="H646" s="28"/>
      <c r="I646" s="28"/>
      <c r="J646" s="31"/>
    </row>
    <row r="647" spans="7:10" ht="18" customHeight="1" x14ac:dyDescent="0.3">
      <c r="G647" s="28"/>
      <c r="H647" s="28"/>
      <c r="I647" s="28"/>
      <c r="J647" s="31"/>
    </row>
    <row r="648" spans="7:10" ht="18" customHeight="1" x14ac:dyDescent="0.3">
      <c r="G648" s="28"/>
      <c r="H648" s="28"/>
      <c r="I648" s="28"/>
      <c r="J648" s="31"/>
    </row>
    <row r="649" spans="7:10" ht="18" customHeight="1" x14ac:dyDescent="0.3">
      <c r="G649" s="28"/>
      <c r="H649" s="28"/>
      <c r="I649" s="28"/>
      <c r="J649" s="31"/>
    </row>
    <row r="650" spans="7:10" ht="18" customHeight="1" x14ac:dyDescent="0.3">
      <c r="G650" s="28"/>
      <c r="H650" s="28"/>
      <c r="I650" s="28"/>
      <c r="J650" s="31"/>
    </row>
    <row r="651" spans="7:10" ht="18" customHeight="1" x14ac:dyDescent="0.3">
      <c r="G651" s="28"/>
      <c r="H651" s="28"/>
      <c r="I651" s="28"/>
      <c r="J651" s="31"/>
    </row>
    <row r="652" spans="7:10" ht="18" customHeight="1" x14ac:dyDescent="0.3">
      <c r="G652" s="28"/>
      <c r="H652" s="28"/>
      <c r="I652" s="28"/>
      <c r="J652" s="31"/>
    </row>
    <row r="653" spans="7:10" ht="18" customHeight="1" x14ac:dyDescent="0.3">
      <c r="G653" s="28"/>
      <c r="H653" s="28"/>
      <c r="I653" s="28"/>
      <c r="J653" s="31"/>
    </row>
    <row r="654" spans="7:10" ht="18" customHeight="1" x14ac:dyDescent="0.3">
      <c r="G654" s="28"/>
      <c r="H654" s="28"/>
      <c r="I654" s="28"/>
      <c r="J654" s="31"/>
    </row>
    <row r="655" spans="7:10" ht="18" customHeight="1" x14ac:dyDescent="0.3">
      <c r="G655" s="28"/>
      <c r="H655" s="28"/>
      <c r="I655" s="28"/>
      <c r="J655" s="31"/>
    </row>
    <row r="656" spans="7:10" ht="18" customHeight="1" x14ac:dyDescent="0.3">
      <c r="G656" s="28"/>
      <c r="H656" s="28"/>
      <c r="I656" s="28"/>
      <c r="J656" s="31"/>
    </row>
    <row r="657" spans="7:10" ht="18" customHeight="1" x14ac:dyDescent="0.3">
      <c r="G657" s="28"/>
      <c r="H657" s="28"/>
      <c r="I657" s="28"/>
      <c r="J657" s="31"/>
    </row>
    <row r="658" spans="7:10" ht="18" customHeight="1" x14ac:dyDescent="0.3">
      <c r="G658" s="28"/>
      <c r="H658" s="28"/>
      <c r="I658" s="28"/>
      <c r="J658" s="31"/>
    </row>
    <row r="659" spans="7:10" ht="18" customHeight="1" x14ac:dyDescent="0.3">
      <c r="G659" s="28"/>
      <c r="H659" s="28"/>
      <c r="I659" s="28"/>
      <c r="J659" s="31"/>
    </row>
    <row r="660" spans="7:10" ht="18" customHeight="1" x14ac:dyDescent="0.3">
      <c r="G660" s="28"/>
      <c r="H660" s="28"/>
      <c r="I660" s="28"/>
      <c r="J660" s="31"/>
    </row>
    <row r="661" spans="7:10" ht="18" customHeight="1" x14ac:dyDescent="0.3">
      <c r="G661" s="28"/>
      <c r="H661" s="28"/>
      <c r="I661" s="28"/>
      <c r="J661" s="31"/>
    </row>
    <row r="662" spans="7:10" ht="18" customHeight="1" x14ac:dyDescent="0.3">
      <c r="G662" s="28"/>
      <c r="H662" s="28"/>
      <c r="I662" s="28"/>
      <c r="J662" s="31"/>
    </row>
    <row r="663" spans="7:10" ht="18" customHeight="1" x14ac:dyDescent="0.3">
      <c r="G663" s="28"/>
      <c r="H663" s="28"/>
      <c r="I663" s="28"/>
      <c r="J663" s="31"/>
    </row>
    <row r="664" spans="7:10" ht="18" customHeight="1" x14ac:dyDescent="0.3">
      <c r="G664" s="28"/>
      <c r="H664" s="28"/>
      <c r="I664" s="28"/>
      <c r="J664" s="31"/>
    </row>
    <row r="665" spans="7:10" ht="18" customHeight="1" x14ac:dyDescent="0.3">
      <c r="G665" s="28"/>
      <c r="H665" s="28"/>
      <c r="I665" s="28"/>
      <c r="J665" s="31"/>
    </row>
    <row r="666" spans="7:10" ht="18" customHeight="1" x14ac:dyDescent="0.3">
      <c r="G666" s="28"/>
      <c r="H666" s="28"/>
      <c r="I666" s="28"/>
      <c r="J666" s="31"/>
    </row>
    <row r="667" spans="7:10" ht="18" customHeight="1" x14ac:dyDescent="0.3">
      <c r="G667" s="28"/>
      <c r="H667" s="28"/>
      <c r="I667" s="28"/>
      <c r="J667" s="31"/>
    </row>
    <row r="668" spans="7:10" ht="18" customHeight="1" x14ac:dyDescent="0.3">
      <c r="G668" s="28"/>
      <c r="H668" s="28"/>
      <c r="I668" s="28"/>
      <c r="J668" s="31"/>
    </row>
    <row r="669" spans="7:10" ht="18" customHeight="1" x14ac:dyDescent="0.3">
      <c r="G669" s="28"/>
      <c r="H669" s="28"/>
      <c r="I669" s="28"/>
      <c r="J669" s="31"/>
    </row>
    <row r="670" spans="7:10" ht="18" customHeight="1" x14ac:dyDescent="0.3">
      <c r="G670" s="28"/>
      <c r="H670" s="28"/>
      <c r="I670" s="28"/>
      <c r="J670" s="31"/>
    </row>
    <row r="671" spans="7:10" ht="18" customHeight="1" x14ac:dyDescent="0.3">
      <c r="G671" s="28"/>
      <c r="H671" s="28"/>
      <c r="I671" s="28"/>
      <c r="J671" s="31"/>
    </row>
    <row r="672" spans="7:10" ht="18" customHeight="1" x14ac:dyDescent="0.3">
      <c r="G672" s="28"/>
      <c r="H672" s="28"/>
      <c r="I672" s="28"/>
      <c r="J672" s="31"/>
    </row>
    <row r="673" spans="7:10" ht="18" customHeight="1" x14ac:dyDescent="0.3">
      <c r="G673" s="28"/>
      <c r="H673" s="28"/>
      <c r="I673" s="28"/>
      <c r="J673" s="31"/>
    </row>
    <row r="674" spans="7:10" ht="18" customHeight="1" x14ac:dyDescent="0.3">
      <c r="G674" s="28"/>
      <c r="H674" s="28"/>
      <c r="I674" s="28"/>
      <c r="J674" s="31"/>
    </row>
    <row r="675" spans="7:10" ht="18" customHeight="1" x14ac:dyDescent="0.3">
      <c r="G675" s="28"/>
      <c r="H675" s="28"/>
      <c r="I675" s="28"/>
      <c r="J675" s="31"/>
    </row>
    <row r="676" spans="7:10" ht="18" customHeight="1" x14ac:dyDescent="0.3">
      <c r="G676" s="28"/>
      <c r="H676" s="28"/>
      <c r="I676" s="28"/>
      <c r="J676" s="31"/>
    </row>
    <row r="677" spans="7:10" ht="18" customHeight="1" x14ac:dyDescent="0.3">
      <c r="G677" s="28"/>
      <c r="H677" s="28"/>
      <c r="I677" s="28"/>
      <c r="J677" s="31"/>
    </row>
    <row r="678" spans="7:10" ht="18" customHeight="1" x14ac:dyDescent="0.3">
      <c r="G678" s="28"/>
      <c r="H678" s="28"/>
      <c r="I678" s="28"/>
      <c r="J678" s="31"/>
    </row>
    <row r="679" spans="7:10" ht="18" customHeight="1" x14ac:dyDescent="0.3">
      <c r="G679" s="28"/>
      <c r="H679" s="28"/>
      <c r="I679" s="28"/>
      <c r="J679" s="31"/>
    </row>
    <row r="680" spans="7:10" ht="18" customHeight="1" x14ac:dyDescent="0.3">
      <c r="G680" s="28"/>
      <c r="H680" s="28"/>
      <c r="I680" s="28"/>
      <c r="J680" s="31"/>
    </row>
    <row r="681" spans="7:10" ht="18" customHeight="1" x14ac:dyDescent="0.3">
      <c r="G681" s="28"/>
      <c r="H681" s="28"/>
      <c r="I681" s="28"/>
      <c r="J681" s="31"/>
    </row>
    <row r="682" spans="7:10" ht="18" customHeight="1" x14ac:dyDescent="0.3">
      <c r="G682" s="28"/>
      <c r="H682" s="28"/>
      <c r="I682" s="28"/>
      <c r="J682" s="31"/>
    </row>
    <row r="683" spans="7:10" ht="18" customHeight="1" x14ac:dyDescent="0.3">
      <c r="G683" s="28"/>
      <c r="H683" s="28"/>
      <c r="I683" s="28"/>
      <c r="J683" s="31"/>
    </row>
    <row r="684" spans="7:10" ht="18" customHeight="1" x14ac:dyDescent="0.3">
      <c r="G684" s="28"/>
      <c r="H684" s="28"/>
      <c r="I684" s="28"/>
      <c r="J684" s="31"/>
    </row>
    <row r="685" spans="7:10" ht="18" customHeight="1" x14ac:dyDescent="0.3">
      <c r="G685" s="28"/>
      <c r="H685" s="28"/>
      <c r="I685" s="28"/>
      <c r="J685" s="31"/>
    </row>
    <row r="686" spans="7:10" ht="18" customHeight="1" x14ac:dyDescent="0.3">
      <c r="G686" s="28"/>
      <c r="H686" s="28"/>
      <c r="I686" s="28"/>
      <c r="J686" s="31"/>
    </row>
    <row r="687" spans="7:10" ht="18" customHeight="1" x14ac:dyDescent="0.3">
      <c r="G687" s="28"/>
      <c r="H687" s="28"/>
      <c r="I687" s="28"/>
      <c r="J687" s="31"/>
    </row>
    <row r="688" spans="7:10" ht="18" customHeight="1" x14ac:dyDescent="0.3">
      <c r="G688" s="28"/>
      <c r="H688" s="28"/>
      <c r="I688" s="28"/>
      <c r="J688" s="31"/>
    </row>
    <row r="689" spans="7:10" ht="18" customHeight="1" x14ac:dyDescent="0.3">
      <c r="G689" s="28"/>
      <c r="H689" s="28"/>
      <c r="I689" s="28"/>
      <c r="J689" s="31"/>
    </row>
    <row r="690" spans="7:10" ht="18" customHeight="1" x14ac:dyDescent="0.3">
      <c r="G690" s="28"/>
      <c r="H690" s="28"/>
      <c r="I690" s="28"/>
      <c r="J690" s="31"/>
    </row>
    <row r="691" spans="7:10" ht="18" customHeight="1" x14ac:dyDescent="0.3">
      <c r="G691" s="28"/>
      <c r="H691" s="28"/>
      <c r="I691" s="28"/>
      <c r="J691" s="31"/>
    </row>
    <row r="692" spans="7:10" ht="18" customHeight="1" x14ac:dyDescent="0.3">
      <c r="G692" s="28"/>
      <c r="H692" s="28"/>
      <c r="I692" s="28"/>
      <c r="J692" s="31"/>
    </row>
    <row r="693" spans="7:10" ht="18" customHeight="1" x14ac:dyDescent="0.3">
      <c r="G693" s="28"/>
      <c r="H693" s="28"/>
      <c r="I693" s="28"/>
      <c r="J693" s="31"/>
    </row>
    <row r="694" spans="7:10" ht="18" customHeight="1" x14ac:dyDescent="0.3">
      <c r="G694" s="28"/>
      <c r="H694" s="28"/>
      <c r="I694" s="28"/>
      <c r="J694" s="31"/>
    </row>
    <row r="695" spans="7:10" ht="18" customHeight="1" x14ac:dyDescent="0.3">
      <c r="G695" s="28"/>
      <c r="H695" s="28"/>
      <c r="I695" s="28"/>
      <c r="J695" s="31"/>
    </row>
    <row r="696" spans="7:10" ht="18" customHeight="1" x14ac:dyDescent="0.3">
      <c r="G696" s="28"/>
      <c r="H696" s="28"/>
      <c r="I696" s="28"/>
      <c r="J696" s="31"/>
    </row>
    <row r="697" spans="7:10" ht="18" customHeight="1" x14ac:dyDescent="0.3">
      <c r="G697" s="28"/>
      <c r="H697" s="28"/>
      <c r="I697" s="28"/>
      <c r="J697" s="31"/>
    </row>
    <row r="698" spans="7:10" ht="18" customHeight="1" x14ac:dyDescent="0.3">
      <c r="G698" s="28"/>
      <c r="H698" s="28"/>
      <c r="I698" s="28"/>
      <c r="J698" s="31"/>
    </row>
    <row r="699" spans="7:10" ht="18" customHeight="1" x14ac:dyDescent="0.3">
      <c r="G699" s="28"/>
      <c r="H699" s="28"/>
      <c r="I699" s="28"/>
      <c r="J699" s="31"/>
    </row>
    <row r="700" spans="7:10" ht="18" customHeight="1" x14ac:dyDescent="0.3">
      <c r="G700" s="28"/>
      <c r="H700" s="28"/>
      <c r="I700" s="28"/>
      <c r="J700" s="31"/>
    </row>
    <row r="701" spans="7:10" ht="18" customHeight="1" x14ac:dyDescent="0.3">
      <c r="G701" s="28"/>
      <c r="H701" s="28"/>
      <c r="I701" s="28"/>
      <c r="J701" s="31"/>
    </row>
    <row r="702" spans="7:10" ht="18" customHeight="1" x14ac:dyDescent="0.3">
      <c r="G702" s="28"/>
      <c r="H702" s="28"/>
      <c r="I702" s="28"/>
      <c r="J702" s="31"/>
    </row>
    <row r="703" spans="7:10" ht="18" customHeight="1" x14ac:dyDescent="0.3">
      <c r="G703" s="28"/>
      <c r="H703" s="28"/>
      <c r="I703" s="28"/>
      <c r="J703" s="31"/>
    </row>
    <row r="704" spans="7:10" ht="18" customHeight="1" x14ac:dyDescent="0.3">
      <c r="G704" s="28"/>
      <c r="H704" s="28"/>
      <c r="I704" s="28"/>
      <c r="J704" s="31"/>
    </row>
    <row r="705" spans="7:10" ht="18" customHeight="1" x14ac:dyDescent="0.3">
      <c r="G705" s="28"/>
      <c r="H705" s="28"/>
      <c r="I705" s="28"/>
      <c r="J705" s="31"/>
    </row>
    <row r="706" spans="7:10" ht="18" customHeight="1" x14ac:dyDescent="0.3">
      <c r="G706" s="28"/>
      <c r="H706" s="28"/>
      <c r="I706" s="28"/>
      <c r="J706" s="31"/>
    </row>
    <row r="707" spans="7:10" ht="18" customHeight="1" x14ac:dyDescent="0.3">
      <c r="G707" s="28"/>
      <c r="H707" s="28"/>
      <c r="I707" s="28"/>
      <c r="J707" s="31"/>
    </row>
    <row r="708" spans="7:10" ht="18" customHeight="1" x14ac:dyDescent="0.3">
      <c r="G708" s="28"/>
      <c r="H708" s="28"/>
      <c r="I708" s="28"/>
      <c r="J708" s="31"/>
    </row>
    <row r="709" spans="7:10" ht="18" customHeight="1" x14ac:dyDescent="0.3">
      <c r="G709" s="28"/>
      <c r="H709" s="28"/>
      <c r="I709" s="28"/>
      <c r="J709" s="31"/>
    </row>
    <row r="710" spans="7:10" ht="18" customHeight="1" x14ac:dyDescent="0.3">
      <c r="G710" s="28"/>
      <c r="H710" s="28"/>
      <c r="I710" s="28"/>
      <c r="J710" s="31"/>
    </row>
    <row r="711" spans="7:10" ht="18" customHeight="1" x14ac:dyDescent="0.3">
      <c r="G711" s="28"/>
      <c r="H711" s="28"/>
      <c r="I711" s="28"/>
      <c r="J711" s="31"/>
    </row>
    <row r="712" spans="7:10" ht="18" customHeight="1" x14ac:dyDescent="0.3">
      <c r="G712" s="28"/>
      <c r="H712" s="28"/>
      <c r="I712" s="28"/>
      <c r="J712" s="31"/>
    </row>
    <row r="713" spans="7:10" ht="18" customHeight="1" x14ac:dyDescent="0.3">
      <c r="G713" s="28"/>
      <c r="H713" s="28"/>
      <c r="I713" s="28"/>
      <c r="J713" s="31"/>
    </row>
    <row r="714" spans="7:10" ht="18" customHeight="1" x14ac:dyDescent="0.3">
      <c r="G714" s="28"/>
      <c r="H714" s="28"/>
      <c r="I714" s="28"/>
      <c r="J714" s="31"/>
    </row>
    <row r="715" spans="7:10" ht="18" customHeight="1" x14ac:dyDescent="0.3">
      <c r="G715" s="28"/>
      <c r="H715" s="28"/>
      <c r="I715" s="28"/>
      <c r="J715" s="31"/>
    </row>
    <row r="716" spans="7:10" ht="18" customHeight="1" x14ac:dyDescent="0.3">
      <c r="G716" s="28"/>
      <c r="H716" s="28"/>
      <c r="I716" s="28"/>
      <c r="J716" s="31"/>
    </row>
    <row r="717" spans="7:10" ht="18" customHeight="1" x14ac:dyDescent="0.3">
      <c r="G717" s="28"/>
      <c r="H717" s="28"/>
      <c r="I717" s="28"/>
      <c r="J717" s="31"/>
    </row>
    <row r="718" spans="7:10" ht="18" customHeight="1" x14ac:dyDescent="0.3">
      <c r="G718" s="28"/>
      <c r="H718" s="28"/>
      <c r="I718" s="28"/>
      <c r="J718" s="31"/>
    </row>
    <row r="719" spans="7:10" ht="18" customHeight="1" x14ac:dyDescent="0.3">
      <c r="G719" s="28"/>
      <c r="H719" s="28"/>
      <c r="I719" s="28"/>
      <c r="J719" s="31"/>
    </row>
    <row r="720" spans="7:10" ht="18" customHeight="1" x14ac:dyDescent="0.3">
      <c r="G720" s="28"/>
      <c r="H720" s="28"/>
      <c r="I720" s="28"/>
      <c r="J720" s="31"/>
    </row>
    <row r="721" spans="7:10" ht="18" customHeight="1" x14ac:dyDescent="0.3">
      <c r="G721" s="28"/>
      <c r="H721" s="28"/>
      <c r="I721" s="28"/>
      <c r="J721" s="31"/>
    </row>
    <row r="722" spans="7:10" ht="18" customHeight="1" x14ac:dyDescent="0.3">
      <c r="G722" s="28"/>
      <c r="H722" s="28"/>
      <c r="I722" s="28"/>
      <c r="J722" s="31"/>
    </row>
    <row r="723" spans="7:10" ht="18" customHeight="1" x14ac:dyDescent="0.3">
      <c r="G723" s="28"/>
      <c r="H723" s="28"/>
      <c r="I723" s="28"/>
      <c r="J723" s="31"/>
    </row>
    <row r="724" spans="7:10" ht="18" customHeight="1" x14ac:dyDescent="0.3">
      <c r="G724" s="28"/>
      <c r="H724" s="28"/>
      <c r="I724" s="28"/>
      <c r="J724" s="31"/>
    </row>
    <row r="725" spans="7:10" ht="18" customHeight="1" x14ac:dyDescent="0.3">
      <c r="G725" s="28"/>
      <c r="H725" s="28"/>
      <c r="I725" s="28"/>
      <c r="J725" s="31"/>
    </row>
    <row r="726" spans="7:10" ht="18" customHeight="1" x14ac:dyDescent="0.3">
      <c r="G726" s="28"/>
      <c r="H726" s="28"/>
      <c r="I726" s="28"/>
      <c r="J726" s="31"/>
    </row>
    <row r="727" spans="7:10" ht="18" customHeight="1" x14ac:dyDescent="0.3">
      <c r="G727" s="28"/>
      <c r="H727" s="28"/>
      <c r="I727" s="28"/>
      <c r="J727" s="31"/>
    </row>
    <row r="728" spans="7:10" ht="18" customHeight="1" x14ac:dyDescent="0.3">
      <c r="G728" s="28"/>
      <c r="H728" s="28"/>
      <c r="I728" s="28"/>
      <c r="J728" s="31"/>
    </row>
    <row r="729" spans="7:10" ht="18" customHeight="1" x14ac:dyDescent="0.3">
      <c r="G729" s="28"/>
      <c r="H729" s="28"/>
      <c r="I729" s="28"/>
      <c r="J729" s="31"/>
    </row>
    <row r="730" spans="7:10" ht="18" customHeight="1" x14ac:dyDescent="0.3">
      <c r="G730" s="28"/>
      <c r="H730" s="28"/>
      <c r="I730" s="28"/>
      <c r="J730" s="31"/>
    </row>
    <row r="731" spans="7:10" ht="18" customHeight="1" x14ac:dyDescent="0.3">
      <c r="G731" s="28"/>
      <c r="H731" s="28"/>
      <c r="I731" s="28"/>
      <c r="J731" s="31"/>
    </row>
    <row r="732" spans="7:10" ht="18" customHeight="1" x14ac:dyDescent="0.3">
      <c r="G732" s="28"/>
      <c r="H732" s="28"/>
      <c r="I732" s="28"/>
      <c r="J732" s="31"/>
    </row>
    <row r="733" spans="7:10" ht="18" customHeight="1" x14ac:dyDescent="0.3">
      <c r="G733" s="28"/>
      <c r="H733" s="28"/>
      <c r="I733" s="28"/>
      <c r="J733" s="31"/>
    </row>
    <row r="734" spans="7:10" ht="18" customHeight="1" x14ac:dyDescent="0.3">
      <c r="G734" s="28"/>
      <c r="H734" s="28"/>
      <c r="I734" s="28"/>
      <c r="J734" s="31"/>
    </row>
    <row r="735" spans="7:10" ht="18" customHeight="1" x14ac:dyDescent="0.3">
      <c r="G735" s="28"/>
      <c r="H735" s="28"/>
      <c r="I735" s="28"/>
      <c r="J735" s="31"/>
    </row>
    <row r="736" spans="7:10" ht="18" customHeight="1" x14ac:dyDescent="0.3">
      <c r="G736" s="28"/>
      <c r="H736" s="28"/>
      <c r="I736" s="28"/>
      <c r="J736" s="31"/>
    </row>
    <row r="737" spans="7:10" ht="18" customHeight="1" x14ac:dyDescent="0.3">
      <c r="G737" s="28"/>
      <c r="H737" s="28"/>
      <c r="I737" s="28"/>
      <c r="J737" s="31"/>
    </row>
    <row r="738" spans="7:10" ht="18" customHeight="1" x14ac:dyDescent="0.3">
      <c r="G738" s="28"/>
      <c r="H738" s="28"/>
      <c r="I738" s="28"/>
      <c r="J738" s="31"/>
    </row>
    <row r="739" spans="7:10" ht="18" customHeight="1" x14ac:dyDescent="0.3">
      <c r="G739" s="28"/>
      <c r="H739" s="28"/>
      <c r="I739" s="28"/>
      <c r="J739" s="31"/>
    </row>
    <row r="740" spans="7:10" ht="18" customHeight="1" x14ac:dyDescent="0.3">
      <c r="G740" s="28"/>
      <c r="H740" s="28"/>
      <c r="I740" s="28"/>
      <c r="J740" s="31"/>
    </row>
    <row r="741" spans="7:10" ht="18" customHeight="1" x14ac:dyDescent="0.3">
      <c r="G741" s="28"/>
      <c r="H741" s="28"/>
      <c r="I741" s="28"/>
      <c r="J741" s="31"/>
    </row>
    <row r="742" spans="7:10" ht="18" customHeight="1" x14ac:dyDescent="0.3">
      <c r="G742" s="28"/>
      <c r="H742" s="28"/>
      <c r="I742" s="28"/>
      <c r="J742" s="31"/>
    </row>
    <row r="743" spans="7:10" ht="18" customHeight="1" x14ac:dyDescent="0.3">
      <c r="G743" s="28"/>
      <c r="H743" s="28"/>
      <c r="I743" s="28"/>
      <c r="J743" s="31"/>
    </row>
    <row r="744" spans="7:10" ht="18" customHeight="1" x14ac:dyDescent="0.3">
      <c r="G744" s="28"/>
      <c r="H744" s="28"/>
      <c r="I744" s="28"/>
      <c r="J744" s="31"/>
    </row>
    <row r="745" spans="7:10" ht="18" customHeight="1" x14ac:dyDescent="0.3">
      <c r="G745" s="28"/>
      <c r="H745" s="28"/>
      <c r="I745" s="28"/>
      <c r="J745" s="31"/>
    </row>
    <row r="746" spans="7:10" ht="18" customHeight="1" x14ac:dyDescent="0.3">
      <c r="G746" s="28"/>
      <c r="H746" s="28"/>
      <c r="I746" s="28"/>
      <c r="J746" s="31"/>
    </row>
    <row r="747" spans="7:10" ht="18" customHeight="1" x14ac:dyDescent="0.3">
      <c r="G747" s="28"/>
      <c r="H747" s="28"/>
      <c r="I747" s="28"/>
      <c r="J747" s="31"/>
    </row>
    <row r="748" spans="7:10" ht="18" customHeight="1" x14ac:dyDescent="0.3">
      <c r="G748" s="28"/>
      <c r="H748" s="28"/>
      <c r="I748" s="28"/>
      <c r="J748" s="31"/>
    </row>
    <row r="749" spans="7:10" ht="18" customHeight="1" x14ac:dyDescent="0.3">
      <c r="G749" s="28"/>
      <c r="H749" s="28"/>
      <c r="I749" s="28"/>
      <c r="J749" s="31"/>
    </row>
    <row r="750" spans="7:10" ht="18" customHeight="1" x14ac:dyDescent="0.3">
      <c r="G750" s="28"/>
      <c r="H750" s="28"/>
      <c r="I750" s="28"/>
      <c r="J750" s="31"/>
    </row>
    <row r="751" spans="7:10" ht="18" customHeight="1" x14ac:dyDescent="0.3">
      <c r="G751" s="28"/>
      <c r="H751" s="28"/>
      <c r="I751" s="28"/>
      <c r="J751" s="31"/>
    </row>
    <row r="752" spans="7:10" ht="18" customHeight="1" x14ac:dyDescent="0.3">
      <c r="G752" s="28"/>
      <c r="H752" s="28"/>
      <c r="I752" s="28"/>
      <c r="J752" s="31"/>
    </row>
    <row r="753" spans="7:10" ht="18" customHeight="1" x14ac:dyDescent="0.3">
      <c r="G753" s="28"/>
      <c r="H753" s="28"/>
      <c r="I753" s="28"/>
      <c r="J753" s="31"/>
    </row>
    <row r="754" spans="7:10" ht="18" customHeight="1" x14ac:dyDescent="0.3">
      <c r="G754" s="28"/>
      <c r="H754" s="28"/>
      <c r="I754" s="28"/>
      <c r="J754" s="31"/>
    </row>
    <row r="755" spans="7:10" ht="18" customHeight="1" x14ac:dyDescent="0.3">
      <c r="G755" s="28"/>
      <c r="H755" s="28"/>
      <c r="I755" s="28"/>
      <c r="J755" s="31"/>
    </row>
    <row r="756" spans="7:10" ht="18" customHeight="1" x14ac:dyDescent="0.3">
      <c r="G756" s="28"/>
      <c r="H756" s="28"/>
      <c r="I756" s="28"/>
      <c r="J756" s="31"/>
    </row>
    <row r="757" spans="7:10" ht="18" customHeight="1" x14ac:dyDescent="0.3">
      <c r="G757" s="28"/>
      <c r="H757" s="28"/>
      <c r="I757" s="28"/>
      <c r="J757" s="31"/>
    </row>
    <row r="758" spans="7:10" ht="18" customHeight="1" x14ac:dyDescent="0.3">
      <c r="G758" s="28"/>
      <c r="H758" s="28"/>
      <c r="I758" s="28"/>
      <c r="J758" s="31"/>
    </row>
    <row r="759" spans="7:10" ht="18" customHeight="1" x14ac:dyDescent="0.3">
      <c r="G759" s="28"/>
      <c r="H759" s="28"/>
      <c r="I759" s="28"/>
      <c r="J759" s="31"/>
    </row>
    <row r="760" spans="7:10" ht="18" customHeight="1" x14ac:dyDescent="0.3">
      <c r="G760" s="28"/>
      <c r="H760" s="28"/>
      <c r="I760" s="28"/>
      <c r="J760" s="31"/>
    </row>
    <row r="761" spans="7:10" ht="18" customHeight="1" x14ac:dyDescent="0.3">
      <c r="G761" s="28"/>
      <c r="H761" s="28"/>
      <c r="I761" s="28"/>
      <c r="J761" s="31"/>
    </row>
    <row r="762" spans="7:10" ht="18" customHeight="1" x14ac:dyDescent="0.3">
      <c r="G762" s="28"/>
      <c r="H762" s="28"/>
      <c r="I762" s="28"/>
      <c r="J762" s="31"/>
    </row>
    <row r="763" spans="7:10" ht="18" customHeight="1" x14ac:dyDescent="0.3">
      <c r="G763" s="28"/>
      <c r="H763" s="28"/>
      <c r="I763" s="28"/>
      <c r="J763" s="31"/>
    </row>
    <row r="764" spans="7:10" ht="18" customHeight="1" x14ac:dyDescent="0.3">
      <c r="G764" s="28"/>
      <c r="H764" s="28"/>
      <c r="I764" s="28"/>
      <c r="J764" s="31"/>
    </row>
    <row r="765" spans="7:10" ht="18" customHeight="1" x14ac:dyDescent="0.3">
      <c r="G765" s="28"/>
      <c r="H765" s="28"/>
      <c r="I765" s="28"/>
      <c r="J765" s="31"/>
    </row>
    <row r="766" spans="7:10" ht="18" customHeight="1" x14ac:dyDescent="0.3">
      <c r="G766" s="28"/>
      <c r="H766" s="28"/>
      <c r="I766" s="28"/>
      <c r="J766" s="31"/>
    </row>
    <row r="767" spans="7:10" ht="18" customHeight="1" x14ac:dyDescent="0.3">
      <c r="G767" s="28"/>
      <c r="H767" s="28"/>
      <c r="I767" s="28"/>
      <c r="J767" s="31"/>
    </row>
    <row r="768" spans="7:10" ht="18" customHeight="1" x14ac:dyDescent="0.3">
      <c r="G768" s="28"/>
      <c r="H768" s="28"/>
      <c r="I768" s="28"/>
      <c r="J768" s="31"/>
    </row>
    <row r="769" spans="7:10" ht="18" customHeight="1" x14ac:dyDescent="0.3">
      <c r="G769" s="28"/>
      <c r="H769" s="28"/>
      <c r="I769" s="28"/>
      <c r="J769" s="31"/>
    </row>
    <row r="770" spans="7:10" ht="18" customHeight="1" x14ac:dyDescent="0.3">
      <c r="G770" s="28"/>
      <c r="H770" s="28"/>
      <c r="I770" s="28"/>
      <c r="J770" s="31"/>
    </row>
    <row r="771" spans="7:10" ht="18" customHeight="1" x14ac:dyDescent="0.3">
      <c r="G771" s="28"/>
      <c r="H771" s="28"/>
      <c r="I771" s="28"/>
      <c r="J771" s="31"/>
    </row>
    <row r="772" spans="7:10" ht="18" customHeight="1" x14ac:dyDescent="0.3">
      <c r="G772" s="28"/>
      <c r="H772" s="28"/>
      <c r="I772" s="28"/>
      <c r="J772" s="31"/>
    </row>
    <row r="773" spans="7:10" ht="18" customHeight="1" x14ac:dyDescent="0.3">
      <c r="G773" s="28"/>
      <c r="H773" s="28"/>
      <c r="I773" s="28"/>
      <c r="J773" s="31"/>
    </row>
    <row r="774" spans="7:10" ht="18" customHeight="1" x14ac:dyDescent="0.3">
      <c r="G774" s="28"/>
      <c r="H774" s="28"/>
      <c r="I774" s="28"/>
      <c r="J774" s="31"/>
    </row>
    <row r="775" spans="7:10" ht="18" customHeight="1" x14ac:dyDescent="0.3">
      <c r="G775" s="28"/>
      <c r="H775" s="28"/>
      <c r="I775" s="28"/>
      <c r="J775" s="31"/>
    </row>
    <row r="776" spans="7:10" ht="18" customHeight="1" x14ac:dyDescent="0.3">
      <c r="G776" s="28"/>
      <c r="H776" s="28"/>
      <c r="I776" s="28"/>
      <c r="J776" s="31"/>
    </row>
    <row r="777" spans="7:10" ht="18" customHeight="1" x14ac:dyDescent="0.3">
      <c r="G777" s="28"/>
      <c r="H777" s="28"/>
      <c r="I777" s="28"/>
      <c r="J777" s="31"/>
    </row>
    <row r="778" spans="7:10" ht="18" customHeight="1" x14ac:dyDescent="0.3">
      <c r="G778" s="28"/>
      <c r="H778" s="28"/>
      <c r="I778" s="28"/>
      <c r="J778" s="31"/>
    </row>
    <row r="779" spans="7:10" ht="18" customHeight="1" x14ac:dyDescent="0.3">
      <c r="G779" s="28"/>
      <c r="H779" s="28"/>
      <c r="I779" s="28"/>
      <c r="J779" s="31"/>
    </row>
    <row r="780" spans="7:10" ht="18" customHeight="1" x14ac:dyDescent="0.3">
      <c r="G780" s="28"/>
      <c r="H780" s="28"/>
      <c r="I780" s="28"/>
      <c r="J780" s="31"/>
    </row>
    <row r="781" spans="7:10" ht="18" customHeight="1" x14ac:dyDescent="0.3">
      <c r="G781" s="28"/>
      <c r="H781" s="28"/>
      <c r="I781" s="28"/>
      <c r="J781" s="31"/>
    </row>
    <row r="782" spans="7:10" ht="18" customHeight="1" x14ac:dyDescent="0.3">
      <c r="G782" s="28"/>
      <c r="H782" s="28"/>
      <c r="I782" s="28"/>
      <c r="J782" s="31"/>
    </row>
    <row r="783" spans="7:10" ht="18" customHeight="1" x14ac:dyDescent="0.3">
      <c r="G783" s="28"/>
      <c r="H783" s="28"/>
      <c r="I783" s="28"/>
      <c r="J783" s="31"/>
    </row>
    <row r="784" spans="7:10" ht="18" customHeight="1" x14ac:dyDescent="0.3">
      <c r="G784" s="28"/>
      <c r="H784" s="28"/>
      <c r="I784" s="28"/>
      <c r="J784" s="31"/>
    </row>
    <row r="785" spans="7:10" ht="18" customHeight="1" x14ac:dyDescent="0.3">
      <c r="G785" s="28"/>
      <c r="H785" s="28"/>
      <c r="I785" s="28"/>
      <c r="J785" s="31"/>
    </row>
    <row r="786" spans="7:10" ht="18" customHeight="1" x14ac:dyDescent="0.3">
      <c r="G786" s="28"/>
      <c r="H786" s="28"/>
      <c r="I786" s="28"/>
      <c r="J786" s="31"/>
    </row>
    <row r="787" spans="7:10" ht="18" customHeight="1" x14ac:dyDescent="0.3">
      <c r="G787" s="28"/>
      <c r="H787" s="28"/>
      <c r="I787" s="28"/>
      <c r="J787" s="31"/>
    </row>
    <row r="788" spans="7:10" ht="18" customHeight="1" x14ac:dyDescent="0.3">
      <c r="G788" s="28"/>
      <c r="H788" s="28"/>
      <c r="I788" s="28"/>
      <c r="J788" s="31"/>
    </row>
    <row r="789" spans="7:10" ht="18" customHeight="1" x14ac:dyDescent="0.3">
      <c r="G789" s="28"/>
      <c r="H789" s="28"/>
      <c r="I789" s="28"/>
      <c r="J789" s="31"/>
    </row>
    <row r="790" spans="7:10" ht="18" customHeight="1" x14ac:dyDescent="0.3">
      <c r="G790" s="28"/>
      <c r="H790" s="28"/>
      <c r="I790" s="28"/>
      <c r="J790" s="31"/>
    </row>
    <row r="791" spans="7:10" ht="18" customHeight="1" x14ac:dyDescent="0.3">
      <c r="G791" s="28"/>
      <c r="H791" s="28"/>
      <c r="I791" s="28"/>
      <c r="J791" s="31"/>
    </row>
    <row r="792" spans="7:10" ht="18" customHeight="1" x14ac:dyDescent="0.3">
      <c r="G792" s="28"/>
      <c r="H792" s="28"/>
      <c r="I792" s="28"/>
      <c r="J792" s="31"/>
    </row>
    <row r="793" spans="7:10" ht="18" customHeight="1" x14ac:dyDescent="0.3">
      <c r="G793" s="28"/>
      <c r="H793" s="28"/>
      <c r="I793" s="28"/>
      <c r="J793" s="31"/>
    </row>
    <row r="794" spans="7:10" ht="18" customHeight="1" x14ac:dyDescent="0.3">
      <c r="G794" s="28"/>
      <c r="H794" s="28"/>
      <c r="I794" s="28"/>
      <c r="J794" s="31"/>
    </row>
    <row r="795" spans="7:10" ht="18" customHeight="1" x14ac:dyDescent="0.3">
      <c r="G795" s="28"/>
      <c r="H795" s="28"/>
      <c r="I795" s="28"/>
      <c r="J795" s="31"/>
    </row>
    <row r="796" spans="7:10" ht="18" customHeight="1" x14ac:dyDescent="0.3">
      <c r="G796" s="28"/>
      <c r="H796" s="28"/>
      <c r="I796" s="28"/>
      <c r="J796" s="31"/>
    </row>
    <row r="797" spans="7:10" ht="18" customHeight="1" x14ac:dyDescent="0.3">
      <c r="G797" s="28"/>
      <c r="H797" s="28"/>
      <c r="I797" s="28"/>
      <c r="J797" s="31"/>
    </row>
    <row r="798" spans="7:10" ht="18" customHeight="1" x14ac:dyDescent="0.3">
      <c r="G798" s="28"/>
      <c r="H798" s="28"/>
      <c r="I798" s="28"/>
      <c r="J798" s="31"/>
    </row>
    <row r="799" spans="7:10" ht="18" customHeight="1" x14ac:dyDescent="0.3">
      <c r="G799" s="28"/>
      <c r="H799" s="28"/>
      <c r="I799" s="28"/>
      <c r="J799" s="31"/>
    </row>
    <row r="800" spans="7:10" ht="18" customHeight="1" x14ac:dyDescent="0.3">
      <c r="G800" s="28"/>
      <c r="H800" s="28"/>
      <c r="I800" s="28"/>
      <c r="J800" s="31"/>
    </row>
    <row r="801" spans="7:10" ht="18" customHeight="1" x14ac:dyDescent="0.3">
      <c r="G801" s="28"/>
      <c r="H801" s="28"/>
      <c r="I801" s="28"/>
      <c r="J801" s="31"/>
    </row>
    <row r="802" spans="7:10" ht="18" customHeight="1" x14ac:dyDescent="0.3">
      <c r="G802" s="28"/>
      <c r="H802" s="28"/>
      <c r="I802" s="28"/>
      <c r="J802" s="31"/>
    </row>
    <row r="803" spans="7:10" ht="18" customHeight="1" x14ac:dyDescent="0.3">
      <c r="G803" s="28"/>
      <c r="H803" s="28"/>
      <c r="I803" s="28"/>
      <c r="J803" s="31"/>
    </row>
    <row r="804" spans="7:10" ht="18" customHeight="1" x14ac:dyDescent="0.3">
      <c r="G804" s="28"/>
      <c r="H804" s="28"/>
      <c r="I804" s="28"/>
      <c r="J804" s="31"/>
    </row>
    <row r="805" spans="7:10" ht="18" customHeight="1" x14ac:dyDescent="0.3">
      <c r="G805" s="28"/>
      <c r="H805" s="28"/>
      <c r="I805" s="28"/>
      <c r="J805" s="31"/>
    </row>
    <row r="806" spans="7:10" ht="18" customHeight="1" x14ac:dyDescent="0.3">
      <c r="G806" s="28"/>
      <c r="H806" s="28"/>
      <c r="I806" s="28"/>
      <c r="J806" s="31"/>
    </row>
    <row r="807" spans="7:10" ht="18" customHeight="1" x14ac:dyDescent="0.3">
      <c r="G807" s="28"/>
      <c r="H807" s="28"/>
      <c r="I807" s="28"/>
      <c r="J807" s="31"/>
    </row>
    <row r="808" spans="7:10" ht="18" customHeight="1" x14ac:dyDescent="0.3">
      <c r="G808" s="28"/>
      <c r="H808" s="28"/>
      <c r="I808" s="28"/>
      <c r="J808" s="31"/>
    </row>
    <row r="809" spans="7:10" ht="18" customHeight="1" x14ac:dyDescent="0.3">
      <c r="G809" s="28"/>
      <c r="H809" s="28"/>
      <c r="I809" s="28"/>
      <c r="J809" s="31"/>
    </row>
    <row r="810" spans="7:10" ht="18" customHeight="1" x14ac:dyDescent="0.3">
      <c r="G810" s="28"/>
      <c r="H810" s="28"/>
      <c r="I810" s="28"/>
      <c r="J810" s="31"/>
    </row>
    <row r="811" spans="7:10" ht="18" customHeight="1" x14ac:dyDescent="0.3">
      <c r="G811" s="28"/>
      <c r="H811" s="28"/>
      <c r="I811" s="28"/>
      <c r="J811" s="31"/>
    </row>
    <row r="812" spans="7:10" ht="18" customHeight="1" x14ac:dyDescent="0.3">
      <c r="G812" s="28"/>
      <c r="H812" s="28"/>
      <c r="I812" s="28"/>
      <c r="J812" s="31"/>
    </row>
    <row r="813" spans="7:10" ht="18" customHeight="1" x14ac:dyDescent="0.3">
      <c r="G813" s="28"/>
      <c r="H813" s="28"/>
      <c r="I813" s="28"/>
      <c r="J813" s="31"/>
    </row>
    <row r="814" spans="7:10" ht="18" customHeight="1" x14ac:dyDescent="0.3">
      <c r="G814" s="28"/>
      <c r="H814" s="28"/>
      <c r="I814" s="28"/>
      <c r="J814" s="31"/>
    </row>
    <row r="815" spans="7:10" ht="18" customHeight="1" x14ac:dyDescent="0.3">
      <c r="G815" s="28"/>
      <c r="H815" s="28"/>
      <c r="I815" s="28"/>
      <c r="J815" s="31"/>
    </row>
    <row r="816" spans="7:10" ht="18" customHeight="1" x14ac:dyDescent="0.3">
      <c r="G816" s="28"/>
      <c r="H816" s="28"/>
      <c r="I816" s="28"/>
      <c r="J816" s="31"/>
    </row>
    <row r="817" spans="7:10" ht="18" customHeight="1" x14ac:dyDescent="0.3">
      <c r="G817" s="28"/>
      <c r="H817" s="28"/>
      <c r="I817" s="28"/>
      <c r="J817" s="31"/>
    </row>
    <row r="818" spans="7:10" ht="18" customHeight="1" x14ac:dyDescent="0.3">
      <c r="G818" s="28"/>
      <c r="H818" s="28"/>
      <c r="I818" s="28"/>
      <c r="J818" s="31"/>
    </row>
    <row r="819" spans="7:10" ht="18" customHeight="1" x14ac:dyDescent="0.3">
      <c r="G819" s="28"/>
      <c r="H819" s="28"/>
      <c r="I819" s="28"/>
      <c r="J819" s="31"/>
    </row>
    <row r="820" spans="7:10" ht="18" customHeight="1" x14ac:dyDescent="0.3">
      <c r="G820" s="28"/>
      <c r="H820" s="28"/>
      <c r="I820" s="28"/>
      <c r="J820" s="31"/>
    </row>
    <row r="821" spans="7:10" ht="18" customHeight="1" x14ac:dyDescent="0.3">
      <c r="G821" s="28"/>
      <c r="H821" s="28"/>
      <c r="I821" s="28"/>
      <c r="J821" s="31"/>
    </row>
    <row r="822" spans="7:10" ht="18" customHeight="1" x14ac:dyDescent="0.3">
      <c r="G822" s="28"/>
      <c r="H822" s="28"/>
      <c r="I822" s="28"/>
      <c r="J822" s="31"/>
    </row>
    <row r="823" spans="7:10" ht="18" customHeight="1" x14ac:dyDescent="0.3">
      <c r="G823" s="28"/>
      <c r="H823" s="28"/>
      <c r="I823" s="28"/>
      <c r="J823" s="31"/>
    </row>
    <row r="824" spans="7:10" ht="18" customHeight="1" x14ac:dyDescent="0.3">
      <c r="G824" s="28"/>
      <c r="H824" s="28"/>
      <c r="I824" s="28"/>
      <c r="J824" s="31"/>
    </row>
    <row r="825" spans="7:10" ht="18" customHeight="1" x14ac:dyDescent="0.3">
      <c r="G825" s="28"/>
      <c r="H825" s="28"/>
      <c r="I825" s="28"/>
      <c r="J825" s="31"/>
    </row>
    <row r="826" spans="7:10" ht="18" customHeight="1" x14ac:dyDescent="0.3">
      <c r="G826" s="28"/>
      <c r="H826" s="28"/>
      <c r="I826" s="28"/>
      <c r="J826" s="31"/>
    </row>
    <row r="827" spans="7:10" ht="18" customHeight="1" x14ac:dyDescent="0.3">
      <c r="G827" s="28"/>
      <c r="H827" s="28"/>
      <c r="I827" s="28"/>
      <c r="J827" s="31"/>
    </row>
    <row r="828" spans="7:10" ht="18" customHeight="1" x14ac:dyDescent="0.3">
      <c r="G828" s="28"/>
      <c r="H828" s="28"/>
      <c r="I828" s="28"/>
      <c r="J828" s="31"/>
    </row>
    <row r="829" spans="7:10" ht="18" customHeight="1" x14ac:dyDescent="0.3">
      <c r="G829" s="28"/>
      <c r="H829" s="28"/>
      <c r="I829" s="28"/>
      <c r="J829" s="31"/>
    </row>
    <row r="830" spans="7:10" ht="18" customHeight="1" x14ac:dyDescent="0.3">
      <c r="G830" s="28"/>
      <c r="H830" s="28"/>
      <c r="I830" s="28"/>
      <c r="J830" s="31"/>
    </row>
    <row r="831" spans="7:10" ht="18" customHeight="1" x14ac:dyDescent="0.3">
      <c r="G831" s="28"/>
      <c r="H831" s="28"/>
      <c r="I831" s="28"/>
      <c r="J831" s="31"/>
    </row>
    <row r="832" spans="7:10" ht="18" customHeight="1" x14ac:dyDescent="0.3">
      <c r="G832" s="28"/>
      <c r="H832" s="28"/>
      <c r="I832" s="28"/>
      <c r="J832" s="31"/>
    </row>
    <row r="833" spans="7:10" ht="18" customHeight="1" x14ac:dyDescent="0.3">
      <c r="G833" s="28"/>
      <c r="H833" s="28"/>
      <c r="I833" s="28"/>
      <c r="J833" s="31"/>
    </row>
    <row r="834" spans="7:10" ht="18" customHeight="1" x14ac:dyDescent="0.3">
      <c r="G834" s="28"/>
      <c r="H834" s="28"/>
      <c r="I834" s="28"/>
      <c r="J834" s="31"/>
    </row>
    <row r="835" spans="7:10" ht="18" customHeight="1" x14ac:dyDescent="0.3">
      <c r="G835" s="28"/>
      <c r="H835" s="28"/>
      <c r="I835" s="28"/>
      <c r="J835" s="31"/>
    </row>
    <row r="836" spans="7:10" ht="18" customHeight="1" x14ac:dyDescent="0.3">
      <c r="G836" s="28"/>
      <c r="H836" s="28"/>
      <c r="I836" s="28"/>
      <c r="J836" s="31"/>
    </row>
    <row r="837" spans="7:10" ht="18" customHeight="1" x14ac:dyDescent="0.3">
      <c r="G837" s="28"/>
      <c r="H837" s="28"/>
      <c r="I837" s="28"/>
      <c r="J837" s="31"/>
    </row>
    <row r="838" spans="7:10" ht="18" customHeight="1" x14ac:dyDescent="0.3">
      <c r="G838" s="28"/>
      <c r="H838" s="28"/>
      <c r="I838" s="28"/>
      <c r="J838" s="31"/>
    </row>
    <row r="839" spans="7:10" ht="18" customHeight="1" x14ac:dyDescent="0.3">
      <c r="G839" s="28"/>
      <c r="H839" s="28"/>
      <c r="I839" s="28"/>
      <c r="J839" s="31"/>
    </row>
    <row r="840" spans="7:10" ht="18" customHeight="1" x14ac:dyDescent="0.3">
      <c r="G840" s="28"/>
      <c r="H840" s="28"/>
      <c r="I840" s="28"/>
      <c r="J840" s="31"/>
    </row>
    <row r="841" spans="7:10" ht="18" customHeight="1" x14ac:dyDescent="0.3">
      <c r="G841" s="28"/>
      <c r="H841" s="28"/>
      <c r="I841" s="28"/>
      <c r="J841" s="31"/>
    </row>
    <row r="842" spans="7:10" ht="18" customHeight="1" x14ac:dyDescent="0.3">
      <c r="G842" s="28"/>
      <c r="H842" s="28"/>
      <c r="I842" s="28"/>
      <c r="J842" s="31"/>
    </row>
    <row r="843" spans="7:10" ht="18" customHeight="1" x14ac:dyDescent="0.3">
      <c r="G843" s="28"/>
      <c r="H843" s="28"/>
      <c r="I843" s="28"/>
      <c r="J843" s="31"/>
    </row>
    <row r="844" spans="7:10" ht="18" customHeight="1" x14ac:dyDescent="0.3">
      <c r="G844" s="28"/>
      <c r="H844" s="28"/>
      <c r="I844" s="28"/>
      <c r="J844" s="31"/>
    </row>
    <row r="845" spans="7:10" ht="18" customHeight="1" x14ac:dyDescent="0.3">
      <c r="G845" s="28"/>
      <c r="H845" s="28"/>
      <c r="I845" s="28"/>
      <c r="J845" s="31"/>
    </row>
    <row r="846" spans="7:10" ht="18" customHeight="1" x14ac:dyDescent="0.3">
      <c r="G846" s="28"/>
      <c r="H846" s="28"/>
      <c r="I846" s="28"/>
      <c r="J846" s="31"/>
    </row>
    <row r="847" spans="7:10" ht="18" customHeight="1" x14ac:dyDescent="0.3">
      <c r="G847" s="28"/>
      <c r="H847" s="28"/>
      <c r="I847" s="28"/>
      <c r="J847" s="31"/>
    </row>
    <row r="848" spans="7:10" ht="18" customHeight="1" x14ac:dyDescent="0.3">
      <c r="G848" s="28"/>
      <c r="H848" s="28"/>
      <c r="I848" s="28"/>
      <c r="J848" s="31"/>
    </row>
    <row r="849" spans="7:10" ht="18" customHeight="1" x14ac:dyDescent="0.3">
      <c r="G849" s="28"/>
      <c r="H849" s="28"/>
      <c r="I849" s="28"/>
      <c r="J849" s="31"/>
    </row>
    <row r="850" spans="7:10" ht="18" customHeight="1" x14ac:dyDescent="0.3">
      <c r="G850" s="28"/>
      <c r="H850" s="28"/>
      <c r="I850" s="28"/>
      <c r="J850" s="31"/>
    </row>
    <row r="851" spans="7:10" ht="18" customHeight="1" x14ac:dyDescent="0.3">
      <c r="G851" s="28"/>
      <c r="H851" s="28"/>
      <c r="I851" s="28"/>
      <c r="J851" s="31"/>
    </row>
    <row r="852" spans="7:10" ht="18" customHeight="1" x14ac:dyDescent="0.3">
      <c r="G852" s="28"/>
      <c r="H852" s="28"/>
      <c r="I852" s="28"/>
      <c r="J852" s="31"/>
    </row>
    <row r="853" spans="7:10" ht="18" customHeight="1" x14ac:dyDescent="0.3">
      <c r="G853" s="28"/>
      <c r="H853" s="28"/>
      <c r="I853" s="28"/>
      <c r="J853" s="31"/>
    </row>
    <row r="854" spans="7:10" ht="18" customHeight="1" x14ac:dyDescent="0.3">
      <c r="G854" s="28"/>
      <c r="H854" s="28"/>
      <c r="I854" s="28"/>
      <c r="J854" s="31"/>
    </row>
    <row r="855" spans="7:10" ht="18" customHeight="1" x14ac:dyDescent="0.3">
      <c r="G855" s="28"/>
      <c r="H855" s="28"/>
      <c r="I855" s="28"/>
      <c r="J855" s="31"/>
    </row>
    <row r="856" spans="7:10" ht="18" customHeight="1" x14ac:dyDescent="0.3">
      <c r="G856" s="28"/>
      <c r="H856" s="28"/>
      <c r="I856" s="28"/>
      <c r="J856" s="31"/>
    </row>
    <row r="857" spans="7:10" ht="18" customHeight="1" x14ac:dyDescent="0.3">
      <c r="G857" s="28"/>
      <c r="H857" s="28"/>
      <c r="I857" s="28"/>
      <c r="J857" s="31"/>
    </row>
    <row r="858" spans="7:10" ht="18" customHeight="1" x14ac:dyDescent="0.3">
      <c r="G858" s="28"/>
      <c r="H858" s="28"/>
      <c r="I858" s="28"/>
      <c r="J858" s="31"/>
    </row>
    <row r="859" spans="7:10" ht="18" customHeight="1" x14ac:dyDescent="0.3">
      <c r="G859" s="28"/>
      <c r="H859" s="28"/>
      <c r="I859" s="28"/>
      <c r="J859" s="31"/>
    </row>
    <row r="860" spans="7:10" ht="18" customHeight="1" x14ac:dyDescent="0.3">
      <c r="G860" s="28"/>
      <c r="H860" s="28"/>
      <c r="I860" s="28"/>
      <c r="J860" s="31"/>
    </row>
    <row r="861" spans="7:10" ht="18" customHeight="1" x14ac:dyDescent="0.3">
      <c r="G861" s="28"/>
      <c r="H861" s="28"/>
      <c r="I861" s="28"/>
      <c r="J861" s="31"/>
    </row>
    <row r="862" spans="7:10" ht="18" customHeight="1" x14ac:dyDescent="0.3">
      <c r="G862" s="28"/>
      <c r="H862" s="28"/>
      <c r="I862" s="28"/>
      <c r="J862" s="31"/>
    </row>
    <row r="863" spans="7:10" ht="18" customHeight="1" x14ac:dyDescent="0.3">
      <c r="G863" s="28"/>
      <c r="H863" s="28"/>
      <c r="I863" s="28"/>
      <c r="J863" s="31"/>
    </row>
    <row r="864" spans="7:10" ht="18" customHeight="1" x14ac:dyDescent="0.3">
      <c r="G864" s="28"/>
      <c r="H864" s="28"/>
      <c r="I864" s="28"/>
      <c r="J864" s="31"/>
    </row>
    <row r="865" spans="7:10" ht="18" customHeight="1" x14ac:dyDescent="0.3">
      <c r="G865" s="28"/>
      <c r="H865" s="28"/>
      <c r="I865" s="28"/>
      <c r="J865" s="31"/>
    </row>
    <row r="866" spans="7:10" ht="18" customHeight="1" x14ac:dyDescent="0.3">
      <c r="G866" s="28"/>
      <c r="H866" s="28"/>
      <c r="I866" s="28"/>
      <c r="J866" s="31"/>
    </row>
    <row r="867" spans="7:10" ht="18" customHeight="1" x14ac:dyDescent="0.3">
      <c r="G867" s="28"/>
      <c r="H867" s="28"/>
      <c r="I867" s="28"/>
      <c r="J867" s="31"/>
    </row>
    <row r="868" spans="7:10" ht="18" customHeight="1" x14ac:dyDescent="0.3">
      <c r="G868" s="28"/>
      <c r="H868" s="28"/>
      <c r="I868" s="28"/>
      <c r="J868" s="31"/>
    </row>
    <row r="869" spans="7:10" ht="18" customHeight="1" x14ac:dyDescent="0.3">
      <c r="G869" s="28"/>
      <c r="H869" s="28"/>
      <c r="I869" s="28"/>
      <c r="J869" s="31"/>
    </row>
    <row r="870" spans="7:10" ht="18" customHeight="1" x14ac:dyDescent="0.3">
      <c r="G870" s="28"/>
      <c r="H870" s="28"/>
      <c r="I870" s="28"/>
      <c r="J870" s="31"/>
    </row>
    <row r="871" spans="7:10" ht="18" customHeight="1" x14ac:dyDescent="0.3">
      <c r="G871" s="28"/>
      <c r="H871" s="28"/>
      <c r="I871" s="28"/>
      <c r="J871" s="31"/>
    </row>
    <row r="872" spans="7:10" ht="18" customHeight="1" x14ac:dyDescent="0.3">
      <c r="G872" s="28"/>
      <c r="H872" s="28"/>
      <c r="I872" s="28"/>
      <c r="J872" s="31"/>
    </row>
    <row r="873" spans="7:10" ht="18" customHeight="1" x14ac:dyDescent="0.3">
      <c r="G873" s="28"/>
      <c r="H873" s="28"/>
      <c r="I873" s="28"/>
      <c r="J873" s="31"/>
    </row>
    <row r="874" spans="7:10" ht="18" customHeight="1" x14ac:dyDescent="0.3">
      <c r="G874" s="28"/>
      <c r="H874" s="28"/>
      <c r="I874" s="28"/>
      <c r="J874" s="31"/>
    </row>
    <row r="875" spans="7:10" ht="18" customHeight="1" x14ac:dyDescent="0.3">
      <c r="G875" s="28"/>
      <c r="H875" s="28"/>
      <c r="I875" s="28"/>
      <c r="J875" s="31"/>
    </row>
    <row r="876" spans="7:10" ht="18" customHeight="1" x14ac:dyDescent="0.3">
      <c r="G876" s="28"/>
      <c r="H876" s="28"/>
      <c r="I876" s="28"/>
      <c r="J876" s="31"/>
    </row>
    <row r="877" spans="7:10" ht="18" customHeight="1" x14ac:dyDescent="0.3">
      <c r="G877" s="28"/>
      <c r="H877" s="28"/>
      <c r="I877" s="28"/>
      <c r="J877" s="31"/>
    </row>
    <row r="878" spans="7:10" ht="18" customHeight="1" x14ac:dyDescent="0.3">
      <c r="G878" s="28"/>
      <c r="H878" s="28"/>
      <c r="I878" s="28"/>
      <c r="J878" s="31"/>
    </row>
    <row r="879" spans="7:10" ht="18" customHeight="1" x14ac:dyDescent="0.3">
      <c r="G879" s="28"/>
      <c r="H879" s="28"/>
      <c r="I879" s="28"/>
      <c r="J879" s="31"/>
    </row>
    <row r="880" spans="7:10" ht="18" customHeight="1" x14ac:dyDescent="0.3">
      <c r="G880" s="28"/>
      <c r="H880" s="28"/>
      <c r="I880" s="28"/>
      <c r="J880" s="31"/>
    </row>
    <row r="881" spans="7:10" ht="18" customHeight="1" x14ac:dyDescent="0.3">
      <c r="G881" s="28"/>
      <c r="H881" s="28"/>
      <c r="I881" s="28"/>
      <c r="J881" s="31"/>
    </row>
    <row r="882" spans="7:10" ht="18" customHeight="1" x14ac:dyDescent="0.3">
      <c r="G882" s="28"/>
      <c r="H882" s="28"/>
      <c r="I882" s="28"/>
      <c r="J882" s="31"/>
    </row>
    <row r="883" spans="7:10" ht="18" customHeight="1" x14ac:dyDescent="0.3">
      <c r="G883" s="28"/>
      <c r="H883" s="28"/>
      <c r="I883" s="28"/>
      <c r="J883" s="31"/>
    </row>
    <row r="884" spans="7:10" ht="18" customHeight="1" x14ac:dyDescent="0.3">
      <c r="G884" s="28"/>
      <c r="H884" s="28"/>
      <c r="I884" s="28"/>
      <c r="J884" s="31"/>
    </row>
    <row r="885" spans="7:10" ht="18" customHeight="1" x14ac:dyDescent="0.3">
      <c r="G885" s="28"/>
      <c r="H885" s="28"/>
      <c r="I885" s="28"/>
      <c r="J885" s="31"/>
    </row>
    <row r="886" spans="7:10" ht="18" customHeight="1" x14ac:dyDescent="0.3">
      <c r="G886" s="28"/>
      <c r="H886" s="28"/>
      <c r="I886" s="28"/>
      <c r="J886" s="31"/>
    </row>
    <row r="887" spans="7:10" ht="18" customHeight="1" x14ac:dyDescent="0.3">
      <c r="G887" s="28"/>
      <c r="H887" s="28"/>
      <c r="I887" s="28"/>
      <c r="J887" s="31"/>
    </row>
    <row r="888" spans="7:10" ht="18" customHeight="1" x14ac:dyDescent="0.3">
      <c r="G888" s="28"/>
      <c r="H888" s="28"/>
      <c r="I888" s="28"/>
      <c r="J888" s="31"/>
    </row>
    <row r="889" spans="7:10" ht="18" customHeight="1" x14ac:dyDescent="0.3">
      <c r="G889" s="28"/>
      <c r="H889" s="28"/>
      <c r="I889" s="28"/>
      <c r="J889" s="31"/>
    </row>
    <row r="890" spans="7:10" ht="18" customHeight="1" x14ac:dyDescent="0.3">
      <c r="G890" s="28"/>
      <c r="H890" s="28"/>
      <c r="I890" s="28"/>
      <c r="J890" s="31"/>
    </row>
    <row r="891" spans="7:10" ht="18" customHeight="1" x14ac:dyDescent="0.3">
      <c r="G891" s="28"/>
      <c r="H891" s="28"/>
      <c r="I891" s="28"/>
      <c r="J891" s="31"/>
    </row>
    <row r="892" spans="7:10" ht="18" customHeight="1" x14ac:dyDescent="0.3">
      <c r="G892" s="28"/>
      <c r="H892" s="28"/>
      <c r="I892" s="28"/>
      <c r="J892" s="31"/>
    </row>
    <row r="893" spans="7:10" ht="18" customHeight="1" x14ac:dyDescent="0.3">
      <c r="G893" s="28"/>
      <c r="H893" s="28"/>
      <c r="I893" s="28"/>
      <c r="J893" s="31"/>
    </row>
    <row r="894" spans="7:10" ht="18" customHeight="1" x14ac:dyDescent="0.3">
      <c r="G894" s="28"/>
      <c r="H894" s="28"/>
      <c r="I894" s="28"/>
      <c r="J894" s="31"/>
    </row>
    <row r="895" spans="7:10" ht="18" customHeight="1" x14ac:dyDescent="0.3">
      <c r="G895" s="28"/>
      <c r="H895" s="28"/>
      <c r="I895" s="28"/>
      <c r="J895" s="31"/>
    </row>
    <row r="896" spans="7:10" ht="18" customHeight="1" x14ac:dyDescent="0.3">
      <c r="G896" s="28"/>
      <c r="H896" s="28"/>
      <c r="I896" s="28"/>
      <c r="J896" s="31"/>
    </row>
    <row r="897" spans="7:10" ht="18" customHeight="1" x14ac:dyDescent="0.3">
      <c r="G897" s="28"/>
      <c r="H897" s="28"/>
      <c r="I897" s="28"/>
      <c r="J897" s="31"/>
    </row>
    <row r="898" spans="7:10" ht="18" customHeight="1" x14ac:dyDescent="0.3">
      <c r="G898" s="28"/>
      <c r="H898" s="28"/>
      <c r="I898" s="28"/>
      <c r="J898" s="31"/>
    </row>
    <row r="899" spans="7:10" ht="18" customHeight="1" x14ac:dyDescent="0.3">
      <c r="G899" s="28"/>
      <c r="H899" s="28"/>
      <c r="I899" s="28"/>
      <c r="J899" s="31"/>
    </row>
    <row r="900" spans="7:10" ht="18" customHeight="1" x14ac:dyDescent="0.3">
      <c r="G900" s="28"/>
      <c r="H900" s="28"/>
      <c r="I900" s="28"/>
      <c r="J900" s="31"/>
    </row>
    <row r="901" spans="7:10" ht="18" customHeight="1" x14ac:dyDescent="0.3">
      <c r="G901" s="28"/>
      <c r="H901" s="28"/>
      <c r="I901" s="28"/>
      <c r="J901" s="31"/>
    </row>
    <row r="902" spans="7:10" ht="18" customHeight="1" x14ac:dyDescent="0.3">
      <c r="G902" s="28"/>
      <c r="H902" s="28"/>
      <c r="I902" s="28"/>
      <c r="J902" s="31"/>
    </row>
    <row r="903" spans="7:10" ht="18" customHeight="1" x14ac:dyDescent="0.3">
      <c r="G903" s="28"/>
      <c r="H903" s="28"/>
      <c r="I903" s="28"/>
      <c r="J903" s="31"/>
    </row>
    <row r="904" spans="7:10" ht="18" customHeight="1" x14ac:dyDescent="0.3">
      <c r="G904" s="28"/>
      <c r="H904" s="28"/>
      <c r="I904" s="28"/>
      <c r="J904" s="31"/>
    </row>
    <row r="905" spans="7:10" ht="18" customHeight="1" x14ac:dyDescent="0.3">
      <c r="G905" s="28"/>
      <c r="H905" s="28"/>
      <c r="I905" s="28"/>
      <c r="J905" s="31"/>
    </row>
    <row r="906" spans="7:10" ht="18" customHeight="1" x14ac:dyDescent="0.3">
      <c r="G906" s="28"/>
      <c r="H906" s="28"/>
      <c r="I906" s="28"/>
      <c r="J906" s="31"/>
    </row>
    <row r="907" spans="7:10" ht="18" customHeight="1" x14ac:dyDescent="0.3">
      <c r="G907" s="28"/>
      <c r="H907" s="28"/>
      <c r="I907" s="28"/>
      <c r="J907" s="31"/>
    </row>
    <row r="908" spans="7:10" ht="18" customHeight="1" x14ac:dyDescent="0.3">
      <c r="G908" s="28"/>
      <c r="H908" s="28"/>
      <c r="I908" s="28"/>
      <c r="J908" s="31"/>
    </row>
    <row r="909" spans="7:10" ht="18" customHeight="1" x14ac:dyDescent="0.3">
      <c r="G909" s="28"/>
      <c r="H909" s="28"/>
      <c r="I909" s="28"/>
      <c r="J909" s="31"/>
    </row>
    <row r="910" spans="7:10" ht="18" customHeight="1" x14ac:dyDescent="0.3">
      <c r="G910" s="28"/>
      <c r="H910" s="28"/>
      <c r="I910" s="28"/>
      <c r="J910" s="31"/>
    </row>
    <row r="911" spans="7:10" ht="18" customHeight="1" x14ac:dyDescent="0.3">
      <c r="G911" s="28"/>
      <c r="H911" s="28"/>
      <c r="I911" s="28"/>
      <c r="J911" s="31"/>
    </row>
    <row r="912" spans="7:10" ht="18" customHeight="1" x14ac:dyDescent="0.3">
      <c r="G912" s="28"/>
      <c r="H912" s="28"/>
      <c r="I912" s="28"/>
      <c r="J912" s="31"/>
    </row>
    <row r="913" spans="7:10" ht="18" customHeight="1" x14ac:dyDescent="0.3">
      <c r="G913" s="28"/>
      <c r="H913" s="28"/>
      <c r="I913" s="28"/>
      <c r="J913" s="31"/>
    </row>
    <row r="914" spans="7:10" ht="18" customHeight="1" x14ac:dyDescent="0.3">
      <c r="G914" s="28"/>
      <c r="H914" s="28"/>
      <c r="I914" s="28"/>
      <c r="J914" s="31"/>
    </row>
    <row r="915" spans="7:10" ht="18" customHeight="1" x14ac:dyDescent="0.3">
      <c r="G915" s="28"/>
      <c r="H915" s="28"/>
      <c r="I915" s="28"/>
      <c r="J915" s="31"/>
    </row>
    <row r="916" spans="7:10" ht="18" customHeight="1" x14ac:dyDescent="0.3">
      <c r="G916" s="28"/>
      <c r="H916" s="28"/>
      <c r="I916" s="28"/>
      <c r="J916" s="31"/>
    </row>
    <row r="917" spans="7:10" ht="18" customHeight="1" x14ac:dyDescent="0.3">
      <c r="G917" s="28"/>
      <c r="H917" s="28"/>
      <c r="I917" s="28"/>
      <c r="J917" s="31"/>
    </row>
    <row r="918" spans="7:10" ht="18" customHeight="1" x14ac:dyDescent="0.3">
      <c r="G918" s="28"/>
      <c r="H918" s="28"/>
      <c r="I918" s="28"/>
      <c r="J918" s="31"/>
    </row>
    <row r="919" spans="7:10" ht="18" customHeight="1" x14ac:dyDescent="0.3">
      <c r="G919" s="28"/>
      <c r="H919" s="28"/>
      <c r="I919" s="28"/>
      <c r="J919" s="31"/>
    </row>
    <row r="920" spans="7:10" ht="18" customHeight="1" x14ac:dyDescent="0.3">
      <c r="G920" s="28"/>
      <c r="H920" s="28"/>
      <c r="I920" s="28"/>
      <c r="J920" s="31"/>
    </row>
    <row r="921" spans="7:10" ht="18" customHeight="1" x14ac:dyDescent="0.3">
      <c r="G921" s="28"/>
      <c r="H921" s="28"/>
      <c r="I921" s="28"/>
      <c r="J921" s="31"/>
    </row>
    <row r="922" spans="7:10" ht="18" customHeight="1" x14ac:dyDescent="0.3">
      <c r="G922" s="28"/>
      <c r="H922" s="28"/>
      <c r="I922" s="28"/>
      <c r="J922" s="31"/>
    </row>
    <row r="923" spans="7:10" ht="18" customHeight="1" x14ac:dyDescent="0.3">
      <c r="G923" s="28"/>
      <c r="H923" s="28"/>
      <c r="I923" s="28"/>
      <c r="J923" s="31"/>
    </row>
    <row r="924" spans="7:10" ht="18" customHeight="1" x14ac:dyDescent="0.3">
      <c r="G924" s="28"/>
      <c r="H924" s="28"/>
      <c r="I924" s="28"/>
      <c r="J924" s="31"/>
    </row>
    <row r="925" spans="7:10" ht="18" customHeight="1" x14ac:dyDescent="0.3">
      <c r="G925" s="28"/>
      <c r="H925" s="28"/>
      <c r="I925" s="28"/>
      <c r="J925" s="31"/>
    </row>
    <row r="926" spans="7:10" ht="18" customHeight="1" x14ac:dyDescent="0.3">
      <c r="G926" s="28"/>
      <c r="H926" s="28"/>
      <c r="I926" s="28"/>
      <c r="J926" s="31"/>
    </row>
    <row r="927" spans="7:10" ht="18" customHeight="1" x14ac:dyDescent="0.3">
      <c r="G927" s="28"/>
      <c r="H927" s="28"/>
      <c r="I927" s="28"/>
      <c r="J927" s="31"/>
    </row>
    <row r="928" spans="7:10" ht="18" customHeight="1" x14ac:dyDescent="0.3">
      <c r="G928" s="28"/>
      <c r="H928" s="28"/>
      <c r="I928" s="28"/>
      <c r="J928" s="31"/>
    </row>
    <row r="929" spans="7:10" ht="18" customHeight="1" x14ac:dyDescent="0.3">
      <c r="G929" s="28"/>
      <c r="H929" s="28"/>
      <c r="I929" s="28"/>
      <c r="J929" s="31"/>
    </row>
    <row r="930" spans="7:10" ht="18" customHeight="1" x14ac:dyDescent="0.3">
      <c r="G930" s="28"/>
      <c r="H930" s="28"/>
      <c r="I930" s="28"/>
      <c r="J930" s="31"/>
    </row>
    <row r="931" spans="7:10" ht="18" customHeight="1" x14ac:dyDescent="0.3">
      <c r="G931" s="28"/>
      <c r="H931" s="28"/>
      <c r="I931" s="28"/>
      <c r="J931" s="31"/>
    </row>
    <row r="932" spans="7:10" ht="18" customHeight="1" x14ac:dyDescent="0.3">
      <c r="G932" s="28"/>
      <c r="H932" s="28"/>
      <c r="I932" s="28"/>
      <c r="J932" s="31"/>
    </row>
    <row r="933" spans="7:10" ht="18" customHeight="1" x14ac:dyDescent="0.3">
      <c r="G933" s="28"/>
      <c r="H933" s="28"/>
      <c r="I933" s="28"/>
      <c r="J933" s="31"/>
    </row>
    <row r="934" spans="7:10" ht="18" customHeight="1" x14ac:dyDescent="0.3">
      <c r="G934" s="28"/>
      <c r="H934" s="28"/>
      <c r="I934" s="28"/>
      <c r="J934" s="31"/>
    </row>
    <row r="935" spans="7:10" ht="18" customHeight="1" x14ac:dyDescent="0.3">
      <c r="G935" s="28"/>
      <c r="H935" s="28"/>
      <c r="I935" s="28"/>
      <c r="J935" s="31"/>
    </row>
    <row r="936" spans="7:10" ht="18" customHeight="1" x14ac:dyDescent="0.3">
      <c r="G936" s="28"/>
      <c r="H936" s="28"/>
      <c r="I936" s="28"/>
      <c r="J936" s="31"/>
    </row>
    <row r="937" spans="7:10" ht="18" customHeight="1" x14ac:dyDescent="0.3">
      <c r="G937" s="28"/>
      <c r="H937" s="28"/>
      <c r="I937" s="28"/>
      <c r="J937" s="31"/>
    </row>
    <row r="938" spans="7:10" ht="18" customHeight="1" x14ac:dyDescent="0.3">
      <c r="G938" s="28"/>
      <c r="H938" s="28"/>
      <c r="I938" s="28"/>
      <c r="J938" s="31"/>
    </row>
    <row r="939" spans="7:10" ht="18" customHeight="1" x14ac:dyDescent="0.3">
      <c r="G939" s="28"/>
      <c r="H939" s="28"/>
      <c r="I939" s="28"/>
      <c r="J939" s="31"/>
    </row>
    <row r="940" spans="7:10" ht="18" customHeight="1" x14ac:dyDescent="0.3">
      <c r="G940" s="28"/>
      <c r="H940" s="28"/>
      <c r="I940" s="28"/>
      <c r="J940" s="31"/>
    </row>
    <row r="941" spans="7:10" ht="18" customHeight="1" x14ac:dyDescent="0.3">
      <c r="G941" s="28"/>
      <c r="H941" s="28"/>
      <c r="I941" s="28"/>
      <c r="J941" s="31"/>
    </row>
    <row r="942" spans="7:10" ht="18" customHeight="1" x14ac:dyDescent="0.3">
      <c r="G942" s="28"/>
      <c r="H942" s="28"/>
      <c r="I942" s="28"/>
      <c r="J942" s="31"/>
    </row>
    <row r="943" spans="7:10" ht="18" customHeight="1" x14ac:dyDescent="0.3">
      <c r="G943" s="28"/>
      <c r="H943" s="28"/>
      <c r="I943" s="28"/>
      <c r="J943" s="31"/>
    </row>
    <row r="944" spans="7:10" ht="18" customHeight="1" x14ac:dyDescent="0.3">
      <c r="G944" s="28"/>
      <c r="H944" s="28"/>
      <c r="I944" s="28"/>
      <c r="J944" s="31"/>
    </row>
    <row r="945" spans="7:10" ht="18" customHeight="1" x14ac:dyDescent="0.3">
      <c r="G945" s="28"/>
      <c r="H945" s="28"/>
      <c r="I945" s="28"/>
      <c r="J945" s="31"/>
    </row>
    <row r="946" spans="7:10" ht="18" customHeight="1" x14ac:dyDescent="0.3">
      <c r="G946" s="28"/>
      <c r="H946" s="28"/>
      <c r="I946" s="28"/>
      <c r="J946" s="31"/>
    </row>
    <row r="947" spans="7:10" ht="18" customHeight="1" x14ac:dyDescent="0.3">
      <c r="G947" s="28"/>
      <c r="H947" s="28"/>
      <c r="I947" s="28"/>
      <c r="J947" s="31"/>
    </row>
    <row r="948" spans="7:10" ht="18" customHeight="1" x14ac:dyDescent="0.3">
      <c r="G948" s="28"/>
      <c r="H948" s="28"/>
      <c r="I948" s="28"/>
      <c r="J948" s="31"/>
    </row>
    <row r="949" spans="7:10" ht="18" customHeight="1" x14ac:dyDescent="0.3">
      <c r="G949" s="28"/>
      <c r="H949" s="28"/>
      <c r="I949" s="28"/>
      <c r="J949" s="31"/>
    </row>
    <row r="950" spans="7:10" ht="18" customHeight="1" x14ac:dyDescent="0.3">
      <c r="G950" s="28"/>
      <c r="H950" s="28"/>
      <c r="I950" s="28"/>
      <c r="J950" s="31"/>
    </row>
    <row r="951" spans="7:10" ht="18" customHeight="1" x14ac:dyDescent="0.3">
      <c r="G951" s="28"/>
      <c r="H951" s="28"/>
      <c r="I951" s="28"/>
      <c r="J951" s="31"/>
    </row>
    <row r="952" spans="7:10" ht="18" customHeight="1" x14ac:dyDescent="0.3">
      <c r="G952" s="28"/>
      <c r="H952" s="28"/>
      <c r="I952" s="28"/>
      <c r="J952" s="31"/>
    </row>
    <row r="953" spans="7:10" ht="18" customHeight="1" x14ac:dyDescent="0.3">
      <c r="G953" s="28"/>
      <c r="H953" s="28"/>
      <c r="I953" s="28"/>
      <c r="J953" s="31"/>
    </row>
    <row r="954" spans="7:10" ht="18" customHeight="1" x14ac:dyDescent="0.3">
      <c r="G954" s="28"/>
      <c r="H954" s="28"/>
      <c r="I954" s="28"/>
      <c r="J954" s="31"/>
    </row>
    <row r="955" spans="7:10" ht="18" customHeight="1" x14ac:dyDescent="0.3">
      <c r="G955" s="28"/>
      <c r="H955" s="28"/>
      <c r="I955" s="28"/>
      <c r="J955" s="31"/>
    </row>
    <row r="956" spans="7:10" ht="18" customHeight="1" x14ac:dyDescent="0.3">
      <c r="G956" s="28"/>
      <c r="H956" s="28"/>
      <c r="I956" s="28"/>
      <c r="J956" s="31"/>
    </row>
    <row r="957" spans="7:10" ht="18" customHeight="1" x14ac:dyDescent="0.3">
      <c r="G957" s="28"/>
      <c r="H957" s="28"/>
      <c r="I957" s="28"/>
      <c r="J957" s="31"/>
    </row>
    <row r="958" spans="7:10" ht="18" customHeight="1" x14ac:dyDescent="0.3">
      <c r="G958" s="28"/>
      <c r="H958" s="28"/>
      <c r="I958" s="28"/>
      <c r="J958" s="31"/>
    </row>
    <row r="959" spans="7:10" ht="18" customHeight="1" x14ac:dyDescent="0.3">
      <c r="G959" s="28"/>
      <c r="H959" s="28"/>
      <c r="I959" s="28"/>
      <c r="J959" s="31"/>
    </row>
    <row r="960" spans="7:10" ht="18" customHeight="1" x14ac:dyDescent="0.3">
      <c r="G960" s="28"/>
      <c r="H960" s="28"/>
      <c r="I960" s="28"/>
      <c r="J960" s="31"/>
    </row>
    <row r="961" spans="7:10" ht="18" customHeight="1" x14ac:dyDescent="0.3">
      <c r="G961" s="28"/>
      <c r="H961" s="28"/>
      <c r="I961" s="28"/>
      <c r="J961" s="31"/>
    </row>
    <row r="962" spans="7:10" ht="18" customHeight="1" x14ac:dyDescent="0.3">
      <c r="G962" s="28"/>
      <c r="H962" s="28"/>
      <c r="I962" s="28"/>
      <c r="J962" s="31"/>
    </row>
    <row r="963" spans="7:10" ht="18" customHeight="1" x14ac:dyDescent="0.3">
      <c r="G963" s="28"/>
      <c r="H963" s="28"/>
      <c r="I963" s="28"/>
      <c r="J963" s="31"/>
    </row>
    <row r="964" spans="7:10" ht="18" customHeight="1" x14ac:dyDescent="0.3">
      <c r="G964" s="28"/>
      <c r="H964" s="28"/>
      <c r="I964" s="28"/>
      <c r="J964" s="31"/>
    </row>
    <row r="965" spans="7:10" ht="18" customHeight="1" x14ac:dyDescent="0.3">
      <c r="G965" s="28"/>
      <c r="H965" s="28"/>
      <c r="I965" s="28"/>
      <c r="J965" s="31"/>
    </row>
    <row r="966" spans="7:10" ht="18" customHeight="1" x14ac:dyDescent="0.3">
      <c r="G966" s="28"/>
      <c r="H966" s="28"/>
      <c r="I966" s="28"/>
      <c r="J966" s="31"/>
    </row>
    <row r="967" spans="7:10" ht="18" customHeight="1" x14ac:dyDescent="0.3">
      <c r="G967" s="28"/>
      <c r="H967" s="28"/>
      <c r="I967" s="28"/>
      <c r="J967" s="31"/>
    </row>
    <row r="968" spans="7:10" ht="18" customHeight="1" x14ac:dyDescent="0.3">
      <c r="G968" s="28"/>
      <c r="H968" s="28"/>
      <c r="I968" s="28"/>
      <c r="J968" s="31"/>
    </row>
    <row r="969" spans="7:10" ht="18" customHeight="1" x14ac:dyDescent="0.3">
      <c r="G969" s="28"/>
      <c r="H969" s="28"/>
      <c r="I969" s="28"/>
      <c r="J969" s="31"/>
    </row>
    <row r="970" spans="7:10" ht="18" customHeight="1" x14ac:dyDescent="0.3">
      <c r="G970" s="28"/>
      <c r="H970" s="28"/>
      <c r="I970" s="28"/>
      <c r="J970" s="31"/>
    </row>
    <row r="971" spans="7:10" ht="18" customHeight="1" x14ac:dyDescent="0.3">
      <c r="G971" s="28"/>
      <c r="H971" s="28"/>
      <c r="I971" s="28"/>
      <c r="J971" s="31"/>
    </row>
    <row r="972" spans="7:10" ht="18" customHeight="1" x14ac:dyDescent="0.3">
      <c r="G972" s="28"/>
      <c r="H972" s="28"/>
      <c r="I972" s="28"/>
      <c r="J972" s="31"/>
    </row>
    <row r="973" spans="7:10" ht="18" customHeight="1" x14ac:dyDescent="0.3">
      <c r="G973" s="28"/>
      <c r="H973" s="28"/>
      <c r="I973" s="28"/>
      <c r="J973" s="31"/>
    </row>
    <row r="974" spans="7:10" ht="18" customHeight="1" x14ac:dyDescent="0.3">
      <c r="G974" s="28"/>
      <c r="H974" s="28"/>
      <c r="I974" s="28"/>
      <c r="J974" s="31"/>
    </row>
    <row r="975" spans="7:10" ht="18" customHeight="1" x14ac:dyDescent="0.3">
      <c r="G975" s="28"/>
      <c r="H975" s="28"/>
      <c r="I975" s="28"/>
      <c r="J975" s="31"/>
    </row>
    <row r="976" spans="7:10" ht="18" customHeight="1" x14ac:dyDescent="0.3">
      <c r="G976" s="28"/>
      <c r="H976" s="28"/>
      <c r="I976" s="28"/>
      <c r="J976" s="31"/>
    </row>
    <row r="977" spans="7:10" ht="18" customHeight="1" x14ac:dyDescent="0.3">
      <c r="G977" s="28"/>
      <c r="H977" s="28"/>
      <c r="I977" s="28"/>
      <c r="J977" s="31"/>
    </row>
    <row r="978" spans="7:10" ht="18" customHeight="1" x14ac:dyDescent="0.3">
      <c r="G978" s="28"/>
      <c r="H978" s="28"/>
      <c r="I978" s="28"/>
      <c r="J978" s="31"/>
    </row>
    <row r="979" spans="7:10" ht="18" customHeight="1" x14ac:dyDescent="0.3">
      <c r="G979" s="28"/>
      <c r="H979" s="28"/>
      <c r="I979" s="28"/>
      <c r="J979" s="31"/>
    </row>
    <row r="980" spans="7:10" ht="18" customHeight="1" x14ac:dyDescent="0.3">
      <c r="G980" s="28"/>
      <c r="H980" s="28"/>
      <c r="I980" s="28"/>
      <c r="J980" s="31"/>
    </row>
    <row r="981" spans="7:10" ht="18" customHeight="1" x14ac:dyDescent="0.3">
      <c r="G981" s="28"/>
      <c r="H981" s="28"/>
      <c r="I981" s="28"/>
      <c r="J981" s="31"/>
    </row>
    <row r="982" spans="7:10" ht="18" customHeight="1" x14ac:dyDescent="0.3">
      <c r="G982" s="28"/>
      <c r="H982" s="28"/>
      <c r="I982" s="28"/>
      <c r="J982" s="31"/>
    </row>
    <row r="983" spans="7:10" ht="18" customHeight="1" x14ac:dyDescent="0.3">
      <c r="G983" s="28"/>
      <c r="H983" s="28"/>
      <c r="I983" s="28"/>
      <c r="J983" s="31"/>
    </row>
    <row r="984" spans="7:10" ht="18" customHeight="1" x14ac:dyDescent="0.3">
      <c r="G984" s="28"/>
      <c r="H984" s="28"/>
      <c r="I984" s="28"/>
      <c r="J984" s="31"/>
    </row>
    <row r="985" spans="7:10" ht="18" customHeight="1" x14ac:dyDescent="0.3">
      <c r="G985" s="28"/>
      <c r="H985" s="28"/>
      <c r="I985" s="28"/>
      <c r="J985" s="31"/>
    </row>
    <row r="986" spans="7:10" ht="18" customHeight="1" x14ac:dyDescent="0.3">
      <c r="G986" s="28"/>
      <c r="H986" s="28"/>
      <c r="I986" s="28"/>
      <c r="J986" s="31"/>
    </row>
    <row r="987" spans="7:10" ht="18" customHeight="1" x14ac:dyDescent="0.3">
      <c r="G987" s="28"/>
      <c r="H987" s="28"/>
      <c r="I987" s="28"/>
      <c r="J987" s="31"/>
    </row>
    <row r="988" spans="7:10" ht="18" customHeight="1" x14ac:dyDescent="0.3">
      <c r="G988" s="28"/>
      <c r="H988" s="28"/>
      <c r="I988" s="28"/>
      <c r="J988" s="31"/>
    </row>
    <row r="989" spans="7:10" ht="18" customHeight="1" x14ac:dyDescent="0.3">
      <c r="G989" s="28"/>
      <c r="H989" s="28"/>
      <c r="I989" s="28"/>
      <c r="J989" s="31"/>
    </row>
    <row r="990" spans="7:10" ht="18" customHeight="1" x14ac:dyDescent="0.3">
      <c r="G990" s="28"/>
      <c r="H990" s="28"/>
      <c r="I990" s="28"/>
      <c r="J990" s="31"/>
    </row>
    <row r="991" spans="7:10" ht="18" customHeight="1" x14ac:dyDescent="0.3">
      <c r="G991" s="28"/>
      <c r="H991" s="28"/>
      <c r="I991" s="28"/>
      <c r="J991" s="31"/>
    </row>
    <row r="992" spans="7:10" ht="18" customHeight="1" x14ac:dyDescent="0.3">
      <c r="G992" s="28"/>
      <c r="H992" s="28"/>
      <c r="I992" s="28"/>
      <c r="J992" s="31"/>
    </row>
    <row r="993" spans="7:10" ht="18" customHeight="1" x14ac:dyDescent="0.3">
      <c r="G993" s="28"/>
      <c r="H993" s="28"/>
      <c r="I993" s="28"/>
      <c r="J993" s="31"/>
    </row>
    <row r="994" spans="7:10" ht="18" customHeight="1" x14ac:dyDescent="0.3">
      <c r="G994" s="28"/>
      <c r="H994" s="28"/>
      <c r="I994" s="28"/>
      <c r="J994" s="31"/>
    </row>
    <row r="995" spans="7:10" ht="18" customHeight="1" x14ac:dyDescent="0.3">
      <c r="G995" s="28"/>
      <c r="H995" s="28"/>
      <c r="I995" s="28"/>
      <c r="J995" s="31"/>
    </row>
    <row r="996" spans="7:10" ht="18" customHeight="1" x14ac:dyDescent="0.3">
      <c r="G996" s="28"/>
      <c r="H996" s="28"/>
      <c r="I996" s="28"/>
      <c r="J996" s="31"/>
    </row>
    <row r="997" spans="7:10" ht="18" customHeight="1" x14ac:dyDescent="0.3">
      <c r="G997" s="28"/>
      <c r="H997" s="28"/>
      <c r="I997" s="28"/>
      <c r="J997" s="31"/>
    </row>
    <row r="998" spans="7:10" ht="18" customHeight="1" x14ac:dyDescent="0.3">
      <c r="G998" s="28"/>
      <c r="H998" s="28"/>
      <c r="I998" s="28"/>
      <c r="J998" s="31"/>
    </row>
    <row r="999" spans="7:10" ht="18" customHeight="1" x14ac:dyDescent="0.3">
      <c r="G999" s="28"/>
      <c r="H999" s="28"/>
      <c r="I999" s="28"/>
      <c r="J999" s="31"/>
    </row>
    <row r="1000" spans="7:10" ht="18" customHeight="1" x14ac:dyDescent="0.3">
      <c r="G1000" s="28"/>
      <c r="H1000" s="28"/>
      <c r="I1000" s="28"/>
      <c r="J1000" s="31"/>
    </row>
    <row r="1001" spans="7:10" ht="18" customHeight="1" x14ac:dyDescent="0.3">
      <c r="G1001" s="28"/>
      <c r="H1001" s="28"/>
      <c r="I1001" s="28"/>
      <c r="J1001" s="31"/>
    </row>
    <row r="1002" spans="7:10" ht="18" customHeight="1" x14ac:dyDescent="0.3">
      <c r="G1002" s="28"/>
      <c r="H1002" s="28"/>
      <c r="I1002" s="28"/>
      <c r="J1002" s="31"/>
    </row>
    <row r="1003" spans="7:10" ht="18" customHeight="1" x14ac:dyDescent="0.3">
      <c r="G1003" s="28"/>
      <c r="H1003" s="28"/>
      <c r="I1003" s="28"/>
      <c r="J1003" s="31"/>
    </row>
    <row r="1004" spans="7:10" ht="18" customHeight="1" x14ac:dyDescent="0.3">
      <c r="G1004" s="28"/>
      <c r="H1004" s="28"/>
      <c r="I1004" s="28"/>
      <c r="J1004" s="31"/>
    </row>
    <row r="1005" spans="7:10" ht="18" customHeight="1" x14ac:dyDescent="0.3">
      <c r="G1005" s="28"/>
      <c r="H1005" s="28"/>
      <c r="I1005" s="28"/>
      <c r="J1005" s="31"/>
    </row>
    <row r="1006" spans="7:10" ht="18" customHeight="1" x14ac:dyDescent="0.3">
      <c r="G1006" s="28"/>
      <c r="H1006" s="28"/>
      <c r="I1006" s="28"/>
      <c r="J1006" s="31"/>
    </row>
    <row r="1007" spans="7:10" ht="18" customHeight="1" x14ac:dyDescent="0.3">
      <c r="G1007" s="28"/>
      <c r="H1007" s="28"/>
      <c r="I1007" s="28"/>
      <c r="J1007" s="31"/>
    </row>
    <row r="1008" spans="7:10" ht="18" customHeight="1" x14ac:dyDescent="0.3">
      <c r="G1008" s="28"/>
      <c r="H1008" s="28"/>
      <c r="I1008" s="28"/>
      <c r="J1008" s="31"/>
    </row>
    <row r="1009" spans="7:10" ht="18" customHeight="1" x14ac:dyDescent="0.3">
      <c r="G1009" s="28"/>
      <c r="H1009" s="28"/>
      <c r="I1009" s="28"/>
      <c r="J1009" s="31"/>
    </row>
    <row r="1010" spans="7:10" ht="18" customHeight="1" x14ac:dyDescent="0.3">
      <c r="G1010" s="28"/>
      <c r="H1010" s="28"/>
      <c r="I1010" s="28"/>
      <c r="J1010" s="31"/>
    </row>
    <row r="1011" spans="7:10" ht="18" customHeight="1" x14ac:dyDescent="0.3">
      <c r="G1011" s="28"/>
      <c r="H1011" s="28"/>
      <c r="I1011" s="28"/>
      <c r="J1011" s="31"/>
    </row>
    <row r="1012" spans="7:10" ht="18" customHeight="1" x14ac:dyDescent="0.3">
      <c r="G1012" s="28"/>
      <c r="H1012" s="28"/>
      <c r="I1012" s="28"/>
      <c r="J1012" s="31"/>
    </row>
    <row r="1013" spans="7:10" ht="18" customHeight="1" x14ac:dyDescent="0.3">
      <c r="G1013" s="28"/>
      <c r="H1013" s="28"/>
      <c r="I1013" s="28"/>
      <c r="J1013" s="31"/>
    </row>
    <row r="1014" spans="7:10" ht="18" customHeight="1" x14ac:dyDescent="0.3">
      <c r="G1014" s="28"/>
      <c r="H1014" s="28"/>
      <c r="I1014" s="28"/>
      <c r="J1014" s="31"/>
    </row>
    <row r="1015" spans="7:10" ht="18" customHeight="1" x14ac:dyDescent="0.3">
      <c r="G1015" s="28"/>
      <c r="H1015" s="28"/>
      <c r="I1015" s="28"/>
      <c r="J1015" s="31"/>
    </row>
    <row r="1016" spans="7:10" ht="18" customHeight="1" x14ac:dyDescent="0.3">
      <c r="G1016" s="28"/>
      <c r="H1016" s="28"/>
      <c r="I1016" s="28"/>
      <c r="J1016" s="31"/>
    </row>
    <row r="1017" spans="7:10" ht="18" customHeight="1" x14ac:dyDescent="0.3">
      <c r="G1017" s="28"/>
      <c r="H1017" s="28"/>
      <c r="I1017" s="28"/>
      <c r="J1017" s="31"/>
    </row>
    <row r="1018" spans="7:10" ht="18" customHeight="1" x14ac:dyDescent="0.3">
      <c r="G1018" s="28"/>
      <c r="H1018" s="28"/>
      <c r="I1018" s="28"/>
      <c r="J1018" s="31"/>
    </row>
    <row r="1019" spans="7:10" ht="18" customHeight="1" x14ac:dyDescent="0.3">
      <c r="G1019" s="28"/>
      <c r="H1019" s="28"/>
      <c r="I1019" s="28"/>
      <c r="J1019" s="31"/>
    </row>
    <row r="1020" spans="7:10" ht="18" customHeight="1" x14ac:dyDescent="0.3">
      <c r="G1020" s="28"/>
      <c r="H1020" s="28"/>
      <c r="I1020" s="28"/>
      <c r="J1020" s="31"/>
    </row>
    <row r="1021" spans="7:10" ht="18" customHeight="1" x14ac:dyDescent="0.3">
      <c r="G1021" s="28"/>
      <c r="H1021" s="28"/>
      <c r="I1021" s="28"/>
      <c r="J1021" s="31"/>
    </row>
    <row r="1022" spans="7:10" ht="18" customHeight="1" x14ac:dyDescent="0.3">
      <c r="G1022" s="28"/>
      <c r="H1022" s="28"/>
      <c r="I1022" s="28"/>
      <c r="J1022" s="31"/>
    </row>
    <row r="1023" spans="7:10" ht="18" customHeight="1" x14ac:dyDescent="0.3">
      <c r="G1023" s="28"/>
      <c r="H1023" s="28"/>
      <c r="I1023" s="28"/>
      <c r="J1023" s="31"/>
    </row>
    <row r="1024" spans="7:10" ht="18" customHeight="1" x14ac:dyDescent="0.3">
      <c r="G1024" s="28"/>
      <c r="H1024" s="28"/>
      <c r="I1024" s="28"/>
      <c r="J1024" s="31"/>
    </row>
    <row r="1025" spans="7:10" ht="18" customHeight="1" x14ac:dyDescent="0.3">
      <c r="G1025" s="28"/>
      <c r="H1025" s="28"/>
      <c r="I1025" s="28"/>
      <c r="J1025" s="31"/>
    </row>
    <row r="1026" spans="7:10" ht="18" customHeight="1" x14ac:dyDescent="0.3">
      <c r="G1026" s="28"/>
      <c r="H1026" s="28"/>
      <c r="I1026" s="28"/>
      <c r="J1026" s="31"/>
    </row>
    <row r="1027" spans="7:10" ht="18" customHeight="1" x14ac:dyDescent="0.3">
      <c r="G1027" s="28"/>
      <c r="H1027" s="28"/>
      <c r="I1027" s="28"/>
      <c r="J1027" s="31"/>
    </row>
    <row r="1028" spans="7:10" ht="18" customHeight="1" x14ac:dyDescent="0.3">
      <c r="G1028" s="28"/>
      <c r="H1028" s="28"/>
      <c r="I1028" s="28"/>
      <c r="J1028" s="31"/>
    </row>
    <row r="1029" spans="7:10" ht="18" customHeight="1" x14ac:dyDescent="0.3">
      <c r="G1029" s="28"/>
      <c r="H1029" s="28"/>
      <c r="I1029" s="28"/>
      <c r="J1029" s="31"/>
    </row>
    <row r="1030" spans="7:10" ht="18" customHeight="1" x14ac:dyDescent="0.3">
      <c r="G1030" s="28"/>
      <c r="H1030" s="28"/>
      <c r="I1030" s="28"/>
      <c r="J1030" s="31"/>
    </row>
    <row r="1031" spans="7:10" ht="18" customHeight="1" x14ac:dyDescent="0.3">
      <c r="G1031" s="28"/>
      <c r="H1031" s="28"/>
      <c r="I1031" s="28"/>
      <c r="J1031" s="31"/>
    </row>
    <row r="1032" spans="7:10" ht="18" customHeight="1" x14ac:dyDescent="0.3">
      <c r="G1032" s="28"/>
      <c r="H1032" s="28"/>
      <c r="I1032" s="28"/>
      <c r="J1032" s="31"/>
    </row>
    <row r="1033" spans="7:10" ht="18" customHeight="1" x14ac:dyDescent="0.3">
      <c r="G1033" s="28"/>
      <c r="H1033" s="28"/>
      <c r="I1033" s="28"/>
      <c r="J1033" s="31"/>
    </row>
    <row r="1034" spans="7:10" ht="18" customHeight="1" x14ac:dyDescent="0.3">
      <c r="G1034" s="28"/>
      <c r="H1034" s="28"/>
      <c r="I1034" s="28"/>
      <c r="J1034" s="31"/>
    </row>
    <row r="1035" spans="7:10" ht="18" customHeight="1" x14ac:dyDescent="0.3">
      <c r="G1035" s="28"/>
      <c r="H1035" s="28"/>
      <c r="I1035" s="28"/>
      <c r="J1035" s="31"/>
    </row>
    <row r="1036" spans="7:10" ht="18" customHeight="1" x14ac:dyDescent="0.3">
      <c r="G1036" s="28"/>
      <c r="H1036" s="28"/>
      <c r="I1036" s="28"/>
      <c r="J1036" s="31"/>
    </row>
    <row r="1037" spans="7:10" ht="18" customHeight="1" x14ac:dyDescent="0.3">
      <c r="G1037" s="28"/>
      <c r="H1037" s="28"/>
      <c r="I1037" s="28"/>
      <c r="J1037" s="31"/>
    </row>
    <row r="1038" spans="7:10" ht="18" customHeight="1" x14ac:dyDescent="0.3">
      <c r="G1038" s="28"/>
      <c r="H1038" s="28"/>
      <c r="I1038" s="28"/>
      <c r="J1038" s="31"/>
    </row>
    <row r="1039" spans="7:10" ht="18" customHeight="1" x14ac:dyDescent="0.3">
      <c r="G1039" s="28"/>
      <c r="H1039" s="28"/>
      <c r="I1039" s="28"/>
      <c r="J1039" s="31"/>
    </row>
    <row r="1040" spans="7:10" ht="18" customHeight="1" x14ac:dyDescent="0.3">
      <c r="G1040" s="28"/>
      <c r="H1040" s="28"/>
      <c r="I1040" s="28"/>
      <c r="J1040" s="31"/>
    </row>
    <row r="1041" spans="7:10" ht="18" customHeight="1" x14ac:dyDescent="0.3">
      <c r="G1041" s="28"/>
      <c r="H1041" s="28"/>
      <c r="I1041" s="28"/>
      <c r="J1041" s="31"/>
    </row>
    <row r="1042" spans="7:10" ht="18" customHeight="1" x14ac:dyDescent="0.3">
      <c r="G1042" s="28"/>
      <c r="H1042" s="28"/>
      <c r="I1042" s="28"/>
      <c r="J1042" s="31"/>
    </row>
    <row r="1043" spans="7:10" ht="18" customHeight="1" x14ac:dyDescent="0.3">
      <c r="G1043" s="28"/>
      <c r="H1043" s="28"/>
      <c r="I1043" s="28"/>
      <c r="J1043" s="31"/>
    </row>
    <row r="1044" spans="7:10" ht="18" customHeight="1" x14ac:dyDescent="0.3">
      <c r="G1044" s="28"/>
      <c r="H1044" s="28"/>
      <c r="I1044" s="28"/>
      <c r="J1044" s="31"/>
    </row>
    <row r="1045" spans="7:10" ht="18" customHeight="1" x14ac:dyDescent="0.3">
      <c r="G1045" s="28"/>
      <c r="H1045" s="28"/>
      <c r="I1045" s="28"/>
      <c r="J1045" s="31"/>
    </row>
    <row r="1046" spans="7:10" ht="18" customHeight="1" x14ac:dyDescent="0.3">
      <c r="G1046" s="28"/>
      <c r="H1046" s="28"/>
      <c r="I1046" s="28"/>
      <c r="J1046" s="31"/>
    </row>
    <row r="1047" spans="7:10" ht="18" customHeight="1" x14ac:dyDescent="0.3">
      <c r="G1047" s="28"/>
      <c r="H1047" s="28"/>
      <c r="I1047" s="28"/>
      <c r="J1047" s="31"/>
    </row>
    <row r="1048" spans="7:10" ht="18" customHeight="1" x14ac:dyDescent="0.3">
      <c r="G1048" s="28"/>
      <c r="H1048" s="28"/>
      <c r="I1048" s="28"/>
      <c r="J1048" s="31"/>
    </row>
    <row r="1049" spans="7:10" ht="18" customHeight="1" x14ac:dyDescent="0.3">
      <c r="G1049" s="28"/>
      <c r="H1049" s="28"/>
      <c r="I1049" s="28"/>
      <c r="J1049" s="31"/>
    </row>
    <row r="1050" spans="7:10" ht="18" customHeight="1" x14ac:dyDescent="0.3">
      <c r="G1050" s="28"/>
      <c r="H1050" s="28"/>
      <c r="I1050" s="28"/>
      <c r="J1050" s="31"/>
    </row>
    <row r="1051" spans="7:10" ht="18" customHeight="1" x14ac:dyDescent="0.3">
      <c r="G1051" s="28"/>
      <c r="H1051" s="28"/>
      <c r="I1051" s="28"/>
      <c r="J1051" s="31"/>
    </row>
    <row r="1052" spans="7:10" ht="18" customHeight="1" x14ac:dyDescent="0.3">
      <c r="G1052" s="28"/>
      <c r="H1052" s="28"/>
      <c r="I1052" s="28"/>
      <c r="J1052" s="31"/>
    </row>
    <row r="1053" spans="7:10" ht="18" customHeight="1" x14ac:dyDescent="0.3">
      <c r="G1053" s="28"/>
      <c r="H1053" s="28"/>
      <c r="I1053" s="28"/>
      <c r="J1053" s="31"/>
    </row>
    <row r="1054" spans="7:10" ht="18" customHeight="1" x14ac:dyDescent="0.3">
      <c r="G1054" s="28"/>
      <c r="H1054" s="28"/>
      <c r="I1054" s="28"/>
      <c r="J1054" s="31"/>
    </row>
    <row r="1055" spans="7:10" ht="18" customHeight="1" x14ac:dyDescent="0.3">
      <c r="G1055" s="28"/>
      <c r="H1055" s="28"/>
      <c r="I1055" s="28"/>
      <c r="J1055" s="31"/>
    </row>
    <row r="1056" spans="7:10" ht="18" customHeight="1" x14ac:dyDescent="0.3">
      <c r="G1056" s="28"/>
      <c r="H1056" s="28"/>
      <c r="I1056" s="28"/>
      <c r="J1056" s="31"/>
    </row>
    <row r="1057" spans="7:10" ht="18" customHeight="1" x14ac:dyDescent="0.3">
      <c r="G1057" s="28"/>
      <c r="H1057" s="28"/>
      <c r="I1057" s="28"/>
      <c r="J1057" s="31"/>
    </row>
    <row r="1058" spans="7:10" ht="18" customHeight="1" x14ac:dyDescent="0.3">
      <c r="G1058" s="28"/>
      <c r="H1058" s="28"/>
      <c r="I1058" s="28"/>
      <c r="J1058" s="31"/>
    </row>
    <row r="1059" spans="7:10" ht="18" customHeight="1" x14ac:dyDescent="0.3">
      <c r="G1059" s="28"/>
      <c r="H1059" s="28"/>
      <c r="I1059" s="28"/>
      <c r="J1059" s="31"/>
    </row>
    <row r="1060" spans="7:10" ht="18" customHeight="1" x14ac:dyDescent="0.3">
      <c r="G1060" s="28"/>
      <c r="H1060" s="28"/>
      <c r="I1060" s="28"/>
      <c r="J1060" s="31"/>
    </row>
    <row r="1061" spans="7:10" ht="18" customHeight="1" x14ac:dyDescent="0.3">
      <c r="G1061" s="28"/>
      <c r="H1061" s="28"/>
      <c r="I1061" s="28"/>
      <c r="J1061" s="31"/>
    </row>
    <row r="1062" spans="7:10" ht="18" customHeight="1" x14ac:dyDescent="0.3">
      <c r="G1062" s="28"/>
      <c r="H1062" s="28"/>
      <c r="I1062" s="28"/>
      <c r="J1062" s="31"/>
    </row>
    <row r="1063" spans="7:10" ht="18" customHeight="1" x14ac:dyDescent="0.3">
      <c r="G1063" s="28"/>
      <c r="H1063" s="28"/>
      <c r="I1063" s="28"/>
      <c r="J1063" s="31"/>
    </row>
    <row r="1064" spans="7:10" ht="18" customHeight="1" x14ac:dyDescent="0.3">
      <c r="G1064" s="28"/>
      <c r="H1064" s="28"/>
      <c r="I1064" s="28"/>
      <c r="J1064" s="31"/>
    </row>
    <row r="1065" spans="7:10" ht="18" customHeight="1" x14ac:dyDescent="0.3">
      <c r="G1065" s="28"/>
      <c r="H1065" s="28"/>
      <c r="I1065" s="28"/>
      <c r="J1065" s="31"/>
    </row>
    <row r="1066" spans="7:10" ht="18" customHeight="1" x14ac:dyDescent="0.3">
      <c r="G1066" s="28"/>
      <c r="H1066" s="28"/>
      <c r="I1066" s="28"/>
      <c r="J1066" s="31"/>
    </row>
    <row r="1067" spans="7:10" ht="18" customHeight="1" x14ac:dyDescent="0.3">
      <c r="G1067" s="28"/>
      <c r="H1067" s="28"/>
      <c r="I1067" s="28"/>
      <c r="J1067" s="31"/>
    </row>
    <row r="1068" spans="7:10" ht="18" customHeight="1" x14ac:dyDescent="0.3">
      <c r="G1068" s="28"/>
      <c r="H1068" s="28"/>
      <c r="I1068" s="28"/>
      <c r="J1068" s="31"/>
    </row>
    <row r="1069" spans="7:10" ht="18" customHeight="1" x14ac:dyDescent="0.3">
      <c r="G1069" s="28"/>
      <c r="H1069" s="28"/>
      <c r="I1069" s="28"/>
      <c r="J1069" s="31"/>
    </row>
    <row r="1070" spans="7:10" ht="18" customHeight="1" x14ac:dyDescent="0.3">
      <c r="G1070" s="28"/>
      <c r="H1070" s="28"/>
      <c r="I1070" s="28"/>
      <c r="J1070" s="31"/>
    </row>
    <row r="1071" spans="7:10" ht="18" customHeight="1" x14ac:dyDescent="0.3">
      <c r="G1071" s="28"/>
      <c r="H1071" s="28"/>
      <c r="I1071" s="28"/>
      <c r="J1071" s="31"/>
    </row>
    <row r="1072" spans="7:10" ht="18" customHeight="1" x14ac:dyDescent="0.3">
      <c r="G1072" s="28"/>
      <c r="H1072" s="28"/>
      <c r="I1072" s="28"/>
      <c r="J1072" s="31"/>
    </row>
    <row r="1073" spans="7:10" ht="18" customHeight="1" x14ac:dyDescent="0.3">
      <c r="G1073" s="28"/>
      <c r="H1073" s="28"/>
      <c r="I1073" s="28"/>
      <c r="J1073" s="31"/>
    </row>
    <row r="1074" spans="7:10" ht="18" customHeight="1" x14ac:dyDescent="0.3">
      <c r="G1074" s="28"/>
      <c r="H1074" s="28"/>
      <c r="I1074" s="28"/>
      <c r="J1074" s="31"/>
    </row>
    <row r="1075" spans="7:10" ht="18" customHeight="1" x14ac:dyDescent="0.3">
      <c r="G1075" s="28"/>
      <c r="H1075" s="28"/>
      <c r="I1075" s="28"/>
      <c r="J1075" s="31"/>
    </row>
    <row r="1076" spans="7:10" ht="18" customHeight="1" x14ac:dyDescent="0.3">
      <c r="G1076" s="28"/>
      <c r="H1076" s="28"/>
      <c r="I1076" s="28"/>
      <c r="J1076" s="31"/>
    </row>
    <row r="1077" spans="7:10" ht="18" customHeight="1" x14ac:dyDescent="0.3">
      <c r="G1077" s="28"/>
      <c r="H1077" s="28"/>
      <c r="I1077" s="28"/>
      <c r="J1077" s="31"/>
    </row>
    <row r="1078" spans="7:10" ht="18" customHeight="1" x14ac:dyDescent="0.3">
      <c r="G1078" s="28"/>
      <c r="H1078" s="28"/>
      <c r="I1078" s="28"/>
      <c r="J1078" s="31"/>
    </row>
    <row r="1079" spans="7:10" ht="18" customHeight="1" x14ac:dyDescent="0.3">
      <c r="G1079" s="28"/>
      <c r="H1079" s="28"/>
      <c r="I1079" s="28"/>
      <c r="J1079" s="31"/>
    </row>
    <row r="1080" spans="7:10" ht="18" customHeight="1" x14ac:dyDescent="0.3">
      <c r="G1080" s="28"/>
      <c r="H1080" s="28"/>
      <c r="I1080" s="28"/>
      <c r="J1080" s="31"/>
    </row>
    <row r="1081" spans="7:10" ht="18" customHeight="1" x14ac:dyDescent="0.3">
      <c r="G1081" s="28"/>
      <c r="H1081" s="28"/>
      <c r="I1081" s="28"/>
      <c r="J1081" s="31"/>
    </row>
    <row r="1082" spans="7:10" ht="18" customHeight="1" x14ac:dyDescent="0.3">
      <c r="G1082" s="28"/>
      <c r="H1082" s="28"/>
      <c r="I1082" s="28"/>
      <c r="J1082" s="31"/>
    </row>
    <row r="1083" spans="7:10" ht="18" customHeight="1" x14ac:dyDescent="0.3">
      <c r="G1083" s="28"/>
      <c r="H1083" s="28"/>
      <c r="I1083" s="28"/>
      <c r="J1083" s="31"/>
    </row>
    <row r="1084" spans="7:10" ht="18" customHeight="1" x14ac:dyDescent="0.3">
      <c r="G1084" s="28"/>
      <c r="H1084" s="28"/>
      <c r="I1084" s="28"/>
      <c r="J1084" s="31"/>
    </row>
    <row r="1085" spans="7:10" ht="18" customHeight="1" x14ac:dyDescent="0.3">
      <c r="G1085" s="28"/>
      <c r="H1085" s="28"/>
      <c r="I1085" s="28"/>
      <c r="J1085" s="31"/>
    </row>
    <row r="1086" spans="7:10" ht="18" customHeight="1" x14ac:dyDescent="0.3">
      <c r="G1086" s="28"/>
      <c r="H1086" s="28"/>
      <c r="I1086" s="28"/>
      <c r="J1086" s="31"/>
    </row>
    <row r="1087" spans="7:10" ht="18" customHeight="1" x14ac:dyDescent="0.3">
      <c r="G1087" s="28"/>
      <c r="H1087" s="28"/>
      <c r="I1087" s="28"/>
      <c r="J1087" s="31"/>
    </row>
    <row r="1088" spans="7:10" ht="18" customHeight="1" x14ac:dyDescent="0.3">
      <c r="G1088" s="28"/>
      <c r="H1088" s="28"/>
      <c r="I1088" s="28"/>
      <c r="J1088" s="31"/>
    </row>
    <row r="1089" spans="7:10" ht="18" customHeight="1" x14ac:dyDescent="0.3">
      <c r="G1089" s="28"/>
      <c r="H1089" s="28"/>
      <c r="I1089" s="28"/>
      <c r="J1089" s="31"/>
    </row>
    <row r="1090" spans="7:10" ht="18" customHeight="1" x14ac:dyDescent="0.3">
      <c r="G1090" s="28"/>
      <c r="H1090" s="28"/>
      <c r="I1090" s="28"/>
      <c r="J1090" s="31"/>
    </row>
    <row r="1091" spans="7:10" ht="18" customHeight="1" x14ac:dyDescent="0.3">
      <c r="G1091" s="28"/>
      <c r="H1091" s="28"/>
      <c r="I1091" s="28"/>
      <c r="J1091" s="31"/>
    </row>
    <row r="1092" spans="7:10" ht="18" customHeight="1" x14ac:dyDescent="0.3">
      <c r="G1092" s="28"/>
      <c r="H1092" s="28"/>
      <c r="I1092" s="28"/>
      <c r="J1092" s="31"/>
    </row>
    <row r="1093" spans="7:10" ht="18" customHeight="1" x14ac:dyDescent="0.3">
      <c r="G1093" s="28"/>
      <c r="H1093" s="28"/>
      <c r="I1093" s="28"/>
      <c r="J1093" s="31"/>
    </row>
    <row r="1094" spans="7:10" ht="18" customHeight="1" x14ac:dyDescent="0.3">
      <c r="G1094" s="28"/>
      <c r="H1094" s="28"/>
      <c r="I1094" s="28"/>
      <c r="J1094" s="31"/>
    </row>
    <row r="1095" spans="7:10" ht="18" customHeight="1" x14ac:dyDescent="0.3">
      <c r="G1095" s="28"/>
      <c r="H1095" s="28"/>
      <c r="I1095" s="28"/>
      <c r="J1095" s="31"/>
    </row>
    <row r="1096" spans="7:10" ht="18" customHeight="1" x14ac:dyDescent="0.3">
      <c r="G1096" s="28"/>
      <c r="H1096" s="28"/>
      <c r="I1096" s="28"/>
      <c r="J1096" s="31"/>
    </row>
    <row r="1097" spans="7:10" ht="18" customHeight="1" x14ac:dyDescent="0.3">
      <c r="G1097" s="28"/>
      <c r="H1097" s="28"/>
      <c r="I1097" s="28"/>
      <c r="J1097" s="31"/>
    </row>
    <row r="1098" spans="7:10" ht="18" customHeight="1" x14ac:dyDescent="0.3">
      <c r="G1098" s="28"/>
      <c r="H1098" s="28"/>
      <c r="I1098" s="28"/>
      <c r="J1098" s="31"/>
    </row>
    <row r="1099" spans="7:10" ht="18" customHeight="1" x14ac:dyDescent="0.3">
      <c r="G1099" s="28"/>
      <c r="H1099" s="28"/>
      <c r="I1099" s="28"/>
      <c r="J1099" s="31"/>
    </row>
    <row r="1100" spans="7:10" ht="18" customHeight="1" x14ac:dyDescent="0.3">
      <c r="G1100" s="28"/>
      <c r="H1100" s="28"/>
      <c r="I1100" s="28"/>
      <c r="J1100" s="31"/>
    </row>
    <row r="1101" spans="7:10" ht="18" customHeight="1" x14ac:dyDescent="0.3">
      <c r="G1101" s="28"/>
      <c r="H1101" s="28"/>
      <c r="I1101" s="28"/>
      <c r="J1101" s="31"/>
    </row>
    <row r="1102" spans="7:10" ht="18" customHeight="1" x14ac:dyDescent="0.3">
      <c r="G1102" s="28"/>
      <c r="H1102" s="28"/>
      <c r="I1102" s="28"/>
      <c r="J1102" s="31"/>
    </row>
    <row r="1103" spans="7:10" ht="18" customHeight="1" x14ac:dyDescent="0.3">
      <c r="G1103" s="28"/>
      <c r="H1103" s="28"/>
      <c r="I1103" s="28"/>
      <c r="J1103" s="31"/>
    </row>
    <row r="1104" spans="7:10" ht="18" customHeight="1" x14ac:dyDescent="0.3">
      <c r="G1104" s="28"/>
      <c r="H1104" s="28"/>
      <c r="I1104" s="28"/>
      <c r="J1104" s="31"/>
    </row>
    <row r="1105" spans="7:10" ht="18" customHeight="1" x14ac:dyDescent="0.3">
      <c r="G1105" s="28"/>
      <c r="H1105" s="28"/>
      <c r="I1105" s="28"/>
      <c r="J1105" s="31"/>
    </row>
    <row r="1106" spans="7:10" ht="18" customHeight="1" x14ac:dyDescent="0.3">
      <c r="G1106" s="28"/>
      <c r="H1106" s="28"/>
      <c r="I1106" s="28"/>
      <c r="J1106" s="31"/>
    </row>
    <row r="1107" spans="7:10" ht="18" customHeight="1" x14ac:dyDescent="0.3">
      <c r="G1107" s="28"/>
      <c r="H1107" s="28"/>
      <c r="I1107" s="28"/>
      <c r="J1107" s="31"/>
    </row>
    <row r="1108" spans="7:10" ht="18" customHeight="1" x14ac:dyDescent="0.3">
      <c r="G1108" s="28"/>
      <c r="H1108" s="28"/>
      <c r="I1108" s="28"/>
      <c r="J1108" s="31"/>
    </row>
    <row r="1109" spans="7:10" ht="18" customHeight="1" x14ac:dyDescent="0.3">
      <c r="G1109" s="28"/>
      <c r="H1109" s="28"/>
      <c r="I1109" s="28"/>
      <c r="J1109" s="31"/>
    </row>
    <row r="1110" spans="7:10" ht="18" customHeight="1" x14ac:dyDescent="0.3">
      <c r="G1110" s="28"/>
      <c r="H1110" s="28"/>
      <c r="I1110" s="28"/>
      <c r="J1110" s="31"/>
    </row>
    <row r="1111" spans="7:10" ht="18" customHeight="1" x14ac:dyDescent="0.3">
      <c r="G1111" s="28"/>
      <c r="H1111" s="28"/>
      <c r="I1111" s="28"/>
      <c r="J1111" s="31"/>
    </row>
    <row r="1112" spans="7:10" ht="18" customHeight="1" x14ac:dyDescent="0.3">
      <c r="G1112" s="28"/>
      <c r="H1112" s="28"/>
      <c r="I1112" s="28"/>
      <c r="J1112" s="31"/>
    </row>
    <row r="1113" spans="7:10" ht="18" customHeight="1" x14ac:dyDescent="0.3">
      <c r="G1113" s="28"/>
      <c r="H1113" s="28"/>
      <c r="I1113" s="28"/>
      <c r="J1113" s="31"/>
    </row>
    <row r="1114" spans="7:10" ht="18" customHeight="1" x14ac:dyDescent="0.3">
      <c r="G1114" s="28"/>
      <c r="H1114" s="28"/>
      <c r="I1114" s="28"/>
      <c r="J1114" s="31"/>
    </row>
    <row r="1115" spans="7:10" ht="18" customHeight="1" x14ac:dyDescent="0.3">
      <c r="G1115" s="28"/>
      <c r="H1115" s="28"/>
      <c r="I1115" s="28"/>
      <c r="J1115" s="31"/>
    </row>
    <row r="1116" spans="7:10" ht="18" customHeight="1" x14ac:dyDescent="0.3">
      <c r="G1116" s="28"/>
      <c r="H1116" s="28"/>
      <c r="I1116" s="28"/>
      <c r="J1116" s="31"/>
    </row>
    <row r="1117" spans="7:10" ht="18" customHeight="1" x14ac:dyDescent="0.3">
      <c r="G1117" s="28"/>
      <c r="H1117" s="28"/>
      <c r="I1117" s="28"/>
      <c r="J1117" s="31"/>
    </row>
    <row r="1118" spans="7:10" ht="18" customHeight="1" x14ac:dyDescent="0.3">
      <c r="G1118" s="28"/>
      <c r="H1118" s="28"/>
      <c r="I1118" s="28"/>
      <c r="J1118" s="31"/>
    </row>
    <row r="1119" spans="7:10" ht="18" customHeight="1" x14ac:dyDescent="0.3">
      <c r="G1119" s="28"/>
      <c r="H1119" s="28"/>
      <c r="I1119" s="28"/>
      <c r="J1119" s="31"/>
    </row>
    <row r="1120" spans="7:10" ht="18" customHeight="1" x14ac:dyDescent="0.3">
      <c r="G1120" s="28"/>
      <c r="H1120" s="28"/>
      <c r="I1120" s="28"/>
      <c r="J1120" s="31"/>
    </row>
    <row r="1121" spans="7:10" ht="18" customHeight="1" x14ac:dyDescent="0.3">
      <c r="G1121" s="28"/>
      <c r="H1121" s="28"/>
      <c r="I1121" s="28"/>
      <c r="J1121" s="31"/>
    </row>
    <row r="1122" spans="7:10" ht="18" customHeight="1" x14ac:dyDescent="0.3">
      <c r="G1122" s="28"/>
      <c r="H1122" s="28"/>
      <c r="I1122" s="28"/>
      <c r="J1122" s="31"/>
    </row>
    <row r="1123" spans="7:10" ht="18" customHeight="1" x14ac:dyDescent="0.3">
      <c r="G1123" s="28"/>
      <c r="H1123" s="28"/>
      <c r="I1123" s="28"/>
      <c r="J1123" s="31"/>
    </row>
    <row r="1124" spans="7:10" ht="18" customHeight="1" x14ac:dyDescent="0.3">
      <c r="G1124" s="28"/>
      <c r="H1124" s="28"/>
      <c r="I1124" s="28"/>
      <c r="J1124" s="31"/>
    </row>
    <row r="1125" spans="7:10" ht="18" customHeight="1" x14ac:dyDescent="0.3">
      <c r="G1125" s="28"/>
      <c r="H1125" s="28"/>
      <c r="I1125" s="28"/>
      <c r="J1125" s="31"/>
    </row>
    <row r="1126" spans="7:10" ht="18" customHeight="1" x14ac:dyDescent="0.3">
      <c r="G1126" s="28"/>
      <c r="H1126" s="28"/>
      <c r="I1126" s="28"/>
      <c r="J1126" s="31"/>
    </row>
    <row r="1127" spans="7:10" ht="18" customHeight="1" x14ac:dyDescent="0.3">
      <c r="G1127" s="28"/>
      <c r="H1127" s="28"/>
      <c r="I1127" s="28"/>
      <c r="J1127" s="31"/>
    </row>
    <row r="1128" spans="7:10" ht="18" customHeight="1" x14ac:dyDescent="0.3">
      <c r="G1128" s="28"/>
      <c r="H1128" s="28"/>
      <c r="I1128" s="28"/>
      <c r="J1128" s="31"/>
    </row>
    <row r="1129" spans="7:10" ht="18" customHeight="1" x14ac:dyDescent="0.3">
      <c r="G1129" s="28"/>
      <c r="H1129" s="28"/>
      <c r="I1129" s="28"/>
      <c r="J1129" s="31"/>
    </row>
    <row r="1130" spans="7:10" ht="18" customHeight="1" x14ac:dyDescent="0.3">
      <c r="G1130" s="28"/>
      <c r="H1130" s="28"/>
      <c r="I1130" s="28"/>
      <c r="J1130" s="31"/>
    </row>
    <row r="1131" spans="7:10" ht="18" customHeight="1" x14ac:dyDescent="0.3">
      <c r="G1131" s="28"/>
      <c r="H1131" s="28"/>
      <c r="I1131" s="28"/>
      <c r="J1131" s="31"/>
    </row>
    <row r="1132" spans="7:10" ht="18" customHeight="1" x14ac:dyDescent="0.3">
      <c r="G1132" s="28"/>
      <c r="H1132" s="28"/>
      <c r="I1132" s="28"/>
      <c r="J1132" s="31"/>
    </row>
    <row r="1133" spans="7:10" ht="18" customHeight="1" x14ac:dyDescent="0.3">
      <c r="G1133" s="28"/>
      <c r="H1133" s="28"/>
      <c r="I1133" s="28"/>
      <c r="J1133" s="31"/>
    </row>
    <row r="1134" spans="7:10" ht="18" customHeight="1" x14ac:dyDescent="0.3">
      <c r="G1134" s="28"/>
      <c r="H1134" s="28"/>
      <c r="I1134" s="28"/>
      <c r="J1134" s="31"/>
    </row>
    <row r="1135" spans="7:10" ht="18" customHeight="1" x14ac:dyDescent="0.3">
      <c r="G1135" s="28"/>
      <c r="H1135" s="28"/>
      <c r="I1135" s="28"/>
      <c r="J1135" s="31"/>
    </row>
    <row r="1136" spans="7:10" ht="18" customHeight="1" x14ac:dyDescent="0.3">
      <c r="G1136" s="28"/>
      <c r="H1136" s="28"/>
      <c r="I1136" s="28"/>
      <c r="J1136" s="31"/>
    </row>
    <row r="1137" spans="7:10" ht="18" customHeight="1" x14ac:dyDescent="0.3">
      <c r="G1137" s="28"/>
      <c r="H1137" s="28"/>
      <c r="I1137" s="28"/>
      <c r="J1137" s="31"/>
    </row>
    <row r="1138" spans="7:10" ht="18" customHeight="1" x14ac:dyDescent="0.3">
      <c r="G1138" s="28"/>
      <c r="H1138" s="28"/>
      <c r="I1138" s="28"/>
      <c r="J1138" s="31"/>
    </row>
    <row r="1139" spans="7:10" ht="18" customHeight="1" x14ac:dyDescent="0.3">
      <c r="G1139" s="28"/>
      <c r="H1139" s="28"/>
      <c r="I1139" s="28"/>
      <c r="J1139" s="31"/>
    </row>
    <row r="1140" spans="7:10" ht="18" customHeight="1" x14ac:dyDescent="0.3">
      <c r="G1140" s="28"/>
      <c r="H1140" s="28"/>
      <c r="I1140" s="28"/>
      <c r="J1140" s="31"/>
    </row>
    <row r="1141" spans="7:10" ht="18" customHeight="1" x14ac:dyDescent="0.3">
      <c r="G1141" s="28"/>
      <c r="H1141" s="28"/>
      <c r="I1141" s="28"/>
      <c r="J1141" s="31"/>
    </row>
    <row r="1142" spans="7:10" ht="18" customHeight="1" x14ac:dyDescent="0.3">
      <c r="G1142" s="28"/>
      <c r="H1142" s="28"/>
      <c r="I1142" s="28"/>
      <c r="J1142" s="31"/>
    </row>
    <row r="1143" spans="7:10" ht="18" customHeight="1" x14ac:dyDescent="0.3">
      <c r="G1143" s="28"/>
      <c r="H1143" s="28"/>
      <c r="I1143" s="28"/>
      <c r="J1143" s="31"/>
    </row>
    <row r="1144" spans="7:10" ht="18" customHeight="1" x14ac:dyDescent="0.3">
      <c r="G1144" s="28"/>
      <c r="H1144" s="28"/>
      <c r="I1144" s="28"/>
      <c r="J1144" s="31"/>
    </row>
    <row r="1145" spans="7:10" ht="18" customHeight="1" x14ac:dyDescent="0.3">
      <c r="G1145" s="28"/>
      <c r="H1145" s="28"/>
      <c r="I1145" s="28"/>
      <c r="J1145" s="31"/>
    </row>
    <row r="1146" spans="7:10" ht="18" customHeight="1" x14ac:dyDescent="0.3">
      <c r="G1146" s="28"/>
      <c r="H1146" s="28"/>
      <c r="I1146" s="28"/>
      <c r="J1146" s="31"/>
    </row>
    <row r="1147" spans="7:10" ht="18" customHeight="1" x14ac:dyDescent="0.3">
      <c r="G1147" s="28"/>
      <c r="H1147" s="28"/>
      <c r="I1147" s="28"/>
      <c r="J1147" s="31"/>
    </row>
    <row r="1148" spans="7:10" ht="18" customHeight="1" x14ac:dyDescent="0.3">
      <c r="G1148" s="28"/>
      <c r="H1148" s="28"/>
      <c r="I1148" s="28"/>
      <c r="J1148" s="31"/>
    </row>
    <row r="1149" spans="7:10" ht="18" customHeight="1" x14ac:dyDescent="0.3">
      <c r="G1149" s="28"/>
      <c r="H1149" s="28"/>
      <c r="I1149" s="28"/>
      <c r="J1149" s="31"/>
    </row>
    <row r="1150" spans="7:10" ht="18" customHeight="1" x14ac:dyDescent="0.3">
      <c r="G1150" s="28"/>
      <c r="H1150" s="28"/>
      <c r="I1150" s="28"/>
      <c r="J1150" s="31"/>
    </row>
    <row r="1151" spans="7:10" ht="18" customHeight="1" x14ac:dyDescent="0.3">
      <c r="G1151" s="28"/>
      <c r="H1151" s="28"/>
      <c r="I1151" s="28"/>
      <c r="J1151" s="31"/>
    </row>
    <row r="1152" spans="7:10" ht="18" customHeight="1" x14ac:dyDescent="0.3">
      <c r="G1152" s="28"/>
      <c r="H1152" s="28"/>
      <c r="I1152" s="28"/>
      <c r="J1152" s="31"/>
    </row>
    <row r="1153" spans="7:10" ht="18" customHeight="1" x14ac:dyDescent="0.3">
      <c r="G1153" s="28"/>
      <c r="H1153" s="28"/>
      <c r="I1153" s="28"/>
      <c r="J1153" s="31"/>
    </row>
    <row r="1154" spans="7:10" ht="18" customHeight="1" x14ac:dyDescent="0.3">
      <c r="G1154" s="28"/>
      <c r="H1154" s="28"/>
      <c r="I1154" s="28"/>
      <c r="J1154" s="31"/>
    </row>
    <row r="1155" spans="7:10" ht="18" customHeight="1" x14ac:dyDescent="0.3">
      <c r="G1155" s="28"/>
      <c r="H1155" s="28"/>
      <c r="I1155" s="28"/>
      <c r="J1155" s="31"/>
    </row>
    <row r="1156" spans="7:10" ht="18" customHeight="1" x14ac:dyDescent="0.3">
      <c r="G1156" s="28"/>
      <c r="H1156" s="28"/>
      <c r="I1156" s="28"/>
      <c r="J1156" s="31"/>
    </row>
    <row r="1157" spans="7:10" ht="18" customHeight="1" x14ac:dyDescent="0.3">
      <c r="G1157" s="28"/>
      <c r="H1157" s="28"/>
      <c r="I1157" s="28"/>
      <c r="J1157" s="31"/>
    </row>
    <row r="1158" spans="7:10" ht="18" customHeight="1" x14ac:dyDescent="0.3">
      <c r="G1158" s="28"/>
      <c r="H1158" s="28"/>
      <c r="I1158" s="28"/>
      <c r="J1158" s="31"/>
    </row>
    <row r="1159" spans="7:10" ht="18" customHeight="1" x14ac:dyDescent="0.3">
      <c r="G1159" s="28"/>
      <c r="H1159" s="28"/>
      <c r="I1159" s="28"/>
      <c r="J1159" s="31"/>
    </row>
    <row r="1160" spans="7:10" ht="18" customHeight="1" x14ac:dyDescent="0.3">
      <c r="G1160" s="28"/>
      <c r="H1160" s="28"/>
      <c r="I1160" s="28"/>
      <c r="J1160" s="31"/>
    </row>
    <row r="1161" spans="7:10" ht="18" customHeight="1" x14ac:dyDescent="0.3">
      <c r="G1161" s="28"/>
      <c r="H1161" s="28"/>
      <c r="I1161" s="28"/>
      <c r="J1161" s="31"/>
    </row>
    <row r="1162" spans="7:10" ht="18" customHeight="1" x14ac:dyDescent="0.3">
      <c r="G1162" s="28"/>
      <c r="H1162" s="28"/>
      <c r="I1162" s="28"/>
      <c r="J1162" s="31"/>
    </row>
    <row r="1163" spans="7:10" ht="18" customHeight="1" x14ac:dyDescent="0.3">
      <c r="G1163" s="28"/>
      <c r="H1163" s="28"/>
      <c r="I1163" s="28"/>
      <c r="J1163" s="31"/>
    </row>
    <row r="1164" spans="7:10" ht="18" customHeight="1" x14ac:dyDescent="0.3">
      <c r="G1164" s="28"/>
      <c r="H1164" s="28"/>
      <c r="I1164" s="28"/>
      <c r="J1164" s="31"/>
    </row>
    <row r="1165" spans="7:10" ht="18" customHeight="1" x14ac:dyDescent="0.3">
      <c r="G1165" s="28"/>
      <c r="H1165" s="28"/>
      <c r="I1165" s="28"/>
      <c r="J1165" s="31"/>
    </row>
    <row r="1166" spans="7:10" ht="18" customHeight="1" x14ac:dyDescent="0.3">
      <c r="G1166" s="28"/>
      <c r="H1166" s="28"/>
      <c r="I1166" s="28"/>
      <c r="J1166" s="31"/>
    </row>
    <row r="1167" spans="7:10" ht="18" customHeight="1" x14ac:dyDescent="0.3">
      <c r="G1167" s="28"/>
      <c r="H1167" s="28"/>
      <c r="I1167" s="28"/>
      <c r="J1167" s="31"/>
    </row>
    <row r="1168" spans="7:10" ht="18" customHeight="1" x14ac:dyDescent="0.3">
      <c r="G1168" s="28"/>
      <c r="H1168" s="28"/>
      <c r="I1168" s="28"/>
      <c r="J1168" s="31"/>
    </row>
    <row r="1169" spans="7:10" ht="18" customHeight="1" x14ac:dyDescent="0.3">
      <c r="G1169" s="28"/>
      <c r="H1169" s="28"/>
      <c r="I1169" s="28"/>
      <c r="J1169" s="31"/>
    </row>
    <row r="1170" spans="7:10" ht="18" customHeight="1" x14ac:dyDescent="0.3">
      <c r="G1170" s="28"/>
      <c r="H1170" s="28"/>
      <c r="I1170" s="28"/>
      <c r="J1170" s="31"/>
    </row>
    <row r="1171" spans="7:10" ht="18" customHeight="1" x14ac:dyDescent="0.3">
      <c r="G1171" s="28"/>
      <c r="H1171" s="28"/>
      <c r="I1171" s="28"/>
      <c r="J1171" s="31"/>
    </row>
    <row r="1172" spans="7:10" ht="18" customHeight="1" x14ac:dyDescent="0.3">
      <c r="G1172" s="28"/>
      <c r="H1172" s="28"/>
      <c r="I1172" s="28"/>
      <c r="J1172" s="31"/>
    </row>
    <row r="1173" spans="7:10" ht="18" customHeight="1" x14ac:dyDescent="0.3">
      <c r="G1173" s="28"/>
      <c r="H1173" s="28"/>
      <c r="I1173" s="28"/>
      <c r="J1173" s="31"/>
    </row>
    <row r="1174" spans="7:10" ht="18" customHeight="1" x14ac:dyDescent="0.3">
      <c r="G1174" s="28"/>
      <c r="H1174" s="28"/>
      <c r="I1174" s="28"/>
      <c r="J1174" s="31"/>
    </row>
    <row r="1175" spans="7:10" ht="18" customHeight="1" x14ac:dyDescent="0.3">
      <c r="G1175" s="28"/>
      <c r="H1175" s="28"/>
      <c r="I1175" s="28"/>
      <c r="J1175" s="31"/>
    </row>
    <row r="1176" spans="7:10" ht="18" customHeight="1" x14ac:dyDescent="0.3">
      <c r="G1176" s="28"/>
      <c r="H1176" s="28"/>
      <c r="I1176" s="28"/>
      <c r="J1176" s="31"/>
    </row>
    <row r="1177" spans="7:10" ht="18" customHeight="1" x14ac:dyDescent="0.3">
      <c r="G1177" s="28"/>
      <c r="H1177" s="28"/>
      <c r="I1177" s="28"/>
      <c r="J1177" s="31"/>
    </row>
    <row r="1178" spans="7:10" ht="18" customHeight="1" x14ac:dyDescent="0.3">
      <c r="G1178" s="28"/>
      <c r="H1178" s="28"/>
      <c r="I1178" s="28"/>
      <c r="J1178" s="31"/>
    </row>
    <row r="1179" spans="7:10" ht="18" customHeight="1" x14ac:dyDescent="0.3">
      <c r="G1179" s="28"/>
      <c r="H1179" s="28"/>
      <c r="I1179" s="28"/>
      <c r="J1179" s="31"/>
    </row>
    <row r="1180" spans="7:10" ht="18" customHeight="1" x14ac:dyDescent="0.3">
      <c r="G1180" s="28"/>
      <c r="H1180" s="28"/>
      <c r="I1180" s="28"/>
      <c r="J1180" s="31"/>
    </row>
    <row r="1181" spans="7:10" ht="18" customHeight="1" x14ac:dyDescent="0.3">
      <c r="G1181" s="28"/>
      <c r="H1181" s="28"/>
      <c r="I1181" s="28"/>
      <c r="J1181" s="31"/>
    </row>
    <row r="1182" spans="7:10" ht="18" customHeight="1" x14ac:dyDescent="0.3">
      <c r="G1182" s="28"/>
      <c r="H1182" s="28"/>
      <c r="I1182" s="28"/>
      <c r="J1182" s="31"/>
    </row>
    <row r="1183" spans="7:10" ht="18" customHeight="1" x14ac:dyDescent="0.3">
      <c r="G1183" s="28"/>
      <c r="H1183" s="28"/>
      <c r="I1183" s="28"/>
      <c r="J1183" s="31"/>
    </row>
    <row r="1184" spans="7:10" ht="18" customHeight="1" x14ac:dyDescent="0.3">
      <c r="G1184" s="28"/>
      <c r="H1184" s="28"/>
      <c r="I1184" s="28"/>
      <c r="J1184" s="31"/>
    </row>
    <row r="1185" spans="7:10" ht="18" customHeight="1" x14ac:dyDescent="0.3">
      <c r="G1185" s="28"/>
      <c r="H1185" s="28"/>
      <c r="I1185" s="28"/>
      <c r="J1185" s="31"/>
    </row>
    <row r="1186" spans="7:10" ht="18" customHeight="1" x14ac:dyDescent="0.3">
      <c r="G1186" s="28"/>
      <c r="H1186" s="28"/>
      <c r="I1186" s="28"/>
      <c r="J1186" s="31"/>
    </row>
    <row r="1187" spans="7:10" ht="18" customHeight="1" x14ac:dyDescent="0.3">
      <c r="G1187" s="28"/>
      <c r="H1187" s="28"/>
      <c r="I1187" s="28"/>
      <c r="J1187" s="31"/>
    </row>
    <row r="1188" spans="7:10" ht="18" customHeight="1" x14ac:dyDescent="0.3">
      <c r="G1188" s="28"/>
      <c r="H1188" s="28"/>
      <c r="I1188" s="28"/>
      <c r="J1188" s="31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RNG</vt:lpstr>
      <vt:lpstr>Other RNG</vt:lpstr>
      <vt:lpstr>Newsboy</vt:lpstr>
      <vt:lpstr>Simulation (Hand)</vt:lpstr>
      <vt:lpstr>Simulation (Spreadsheet)</vt:lpstr>
      <vt:lpstr>Poisson Dist</vt:lpstr>
      <vt:lpstr>MM1 SS</vt:lpstr>
      <vt:lpstr>MG1 SS</vt:lpstr>
      <vt:lpstr>MMS SS</vt:lpstr>
      <vt:lpstr>Econ Analysis</vt:lpstr>
      <vt:lpstr>cumulative_prob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Poh Lim</dc:creator>
  <cp:lastModifiedBy>Yagu</cp:lastModifiedBy>
  <cp:lastPrinted>2004-01-15T04:26:09Z</cp:lastPrinted>
  <dcterms:created xsi:type="dcterms:W3CDTF">2002-03-15T05:38:27Z</dcterms:created>
  <dcterms:modified xsi:type="dcterms:W3CDTF">2019-10-13T04:10:39Z</dcterms:modified>
</cp:coreProperties>
</file>