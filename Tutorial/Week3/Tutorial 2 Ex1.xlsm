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Tutorial\Week 3\Solution\"/>
    </mc:Choice>
  </mc:AlternateContent>
  <bookViews>
    <workbookView xWindow="120" yWindow="96" windowWidth="9372" windowHeight="4968"/>
  </bookViews>
  <sheets>
    <sheet name="Production Plan" sheetId="1" r:id="rId1"/>
    <sheet name="SMDA" sheetId="2" state="veryHidden" r:id=""/>
  </sheets>
  <definedNames>
    <definedName name="grb_async_callbacks" localSheetId="0" hidden="1">1</definedName>
    <definedName name="grb_bariter" localSheetId="0" hidden="1">1E+100</definedName>
    <definedName name="grb_bartol" localSheetId="0" hidden="1">0.00000001</definedName>
    <definedName name="grb_crossover" localSheetId="0" hidden="1">-1</definedName>
    <definedName name="grb_cutoff" localSheetId="0" hidden="1">1E+100</definedName>
    <definedName name="grb_cuts" localSheetId="0" hidden="1">-1</definedName>
    <definedName name="grb_focus" localSheetId="0" hidden="1">0</definedName>
    <definedName name="grb_heur" localSheetId="0" hidden="1">0.05</definedName>
    <definedName name="grb_improv" localSheetId="0" hidden="1">1E+100</definedName>
    <definedName name="grb_infeas" localSheetId="0" hidden="1">0.000001</definedName>
    <definedName name="grb_inttol" localSheetId="0" hidden="1">0.00001</definedName>
    <definedName name="grb_method" localSheetId="0" hidden="1">-1</definedName>
    <definedName name="grb_nodefilestart" localSheetId="0" hidden="1">1E+100</definedName>
    <definedName name="grb_optimal" localSheetId="0" hidden="1">0.000001</definedName>
    <definedName name="grb_order" localSheetId="0" hidden="1">-1</definedName>
    <definedName name="grb_presolve" localSheetId="0" hidden="1">-1</definedName>
    <definedName name="grb_pricing" localSheetId="0" hidden="1">-1</definedName>
    <definedName name="grb_psdtol" localSheetId="0" hidden="1">0.000001</definedName>
    <definedName name="grb_qcptol" localSheetId="0" hidden="1">0.000001</definedName>
    <definedName name="grb_relmip" localSheetId="0" hidden="1">0.0001</definedName>
    <definedName name="grb_seed" localSheetId="0" hidden="1">0</definedName>
    <definedName name="grb_submip" localSheetId="0" hidden="1">500</definedName>
    <definedName name="grb_symmetry" localSheetId="0" hidden="1">-1</definedName>
    <definedName name="grb_threads" localSheetId="0" hidden="1">0</definedName>
    <definedName name="grb_var" localSheetId="0" hidden="1">-1</definedName>
    <definedName name="gurobi_qp" localSheetId="0" hidden="1">0</definedName>
    <definedName name="solver_adj" localSheetId="0" hidden="1">'Production Plan'!$C$4:$D$4</definedName>
    <definedName name="solver_adj_ob" localSheetId="0" hidden="1">1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6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0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1" localSheetId="0" hidden="1">'Production Plan'!$C$4:$D$4</definedName>
    <definedName name="solver_lhs2" localSheetId="0" hidden="1">'Production Plan'!$C$4:$D$4</definedName>
    <definedName name="solver_lhs3" localSheetId="0" hidden="1">'Production Plan'!$E$8:$E$10</definedName>
    <definedName name="solver_lin" localSheetId="0" hidden="1">2</definedName>
    <definedName name="solver_loc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neg" localSheetId="0" hidden="1">2</definedName>
    <definedName name="solver_nod" localSheetId="0" hidden="1">5000</definedName>
    <definedName name="solver_ntr" localSheetId="0" hidden="1">0</definedName>
    <definedName name="solver_ntri" hidden="1">1000</definedName>
    <definedName name="solver_num" localSheetId="0" hidden="1">3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'Production Plan'!$E$5</definedName>
    <definedName name="solver_opt_ob" localSheetId="0" hidden="1">1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co1" localSheetId="0" hidden="1">0</definedName>
    <definedName name="solver_reco2" localSheetId="0" hidden="1">0</definedName>
    <definedName name="solver_reco3" localSheetId="0" hidden="1">0</definedName>
    <definedName name="solver_red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o" localSheetId="0" hidden="1">2</definedName>
    <definedName name="solver_rep" localSheetId="0" hidden="1">2</definedName>
    <definedName name="solver_rhs1" localSheetId="0" hidden="1">'Production Plan'!$C$13:$D$13</definedName>
    <definedName name="solver_rhs2" localSheetId="0" hidden="1">0</definedName>
    <definedName name="solver_rhs3" localSheetId="0" hidden="1">'Production Plan'!$F$8:$F$10</definedName>
    <definedName name="solver_rlx" localSheetId="0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2</definedName>
    <definedName name="solver_seed" hidden="1">0</definedName>
    <definedName name="solver_sel" localSheetId="0" hidden="1">1</definedName>
    <definedName name="solver_sho" localSheetId="0" hidden="1">2</definedName>
    <definedName name="solver_slv" localSheetId="0" hidden="1">0</definedName>
    <definedName name="solver_slvu" localSheetId="0" hidden="1">0</definedName>
    <definedName name="solver_spid" localSheetId="0" hidden="1">" "</definedName>
    <definedName name="solver_srvr" localSheetId="0" hidden="1">" "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mp" localSheetId="0" hidden="1">'Production Plan'!$C$13:$D$13</definedName>
    <definedName name="solver_tol" localSheetId="0" hidden="1">0.05</definedName>
    <definedName name="solver_typ" localSheetId="0" hidden="1">1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12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62913"/>
</workbook>
</file>

<file path=xl/calcChain.xml><?xml version="1.0" encoding="utf-8"?>
<calcChain xmlns="http://schemas.openxmlformats.org/spreadsheetml/2006/main">
  <c r="D13" i="1" l="1"/>
  <c r="C13" i="1"/>
  <c r="E5" i="1"/>
  <c r="E9" i="1"/>
  <c r="E10" i="1"/>
  <c r="E8" i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  <comment ref="E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<sst xmlns="http://schemas.openxmlformats.org/spreadsheetml/2006/main" count="13" uniqueCount="13">
  <si>
    <t>Country</t>
  </si>
  <si>
    <t>Contemporary</t>
  </si>
  <si>
    <t xml:space="preserve">Units Produced </t>
  </si>
  <si>
    <t xml:space="preserve">Total Revenue </t>
  </si>
  <si>
    <t xml:space="preserve">Selling Price </t>
  </si>
  <si>
    <t xml:space="preserve">Resoureces Req'd </t>
  </si>
  <si>
    <t xml:space="preserve">Used </t>
  </si>
  <si>
    <t xml:space="preserve">Available </t>
  </si>
  <si>
    <t>Router</t>
  </si>
  <si>
    <t>Sander</t>
  </si>
  <si>
    <t>Polisher</t>
  </si>
  <si>
    <t xml:space="preserve">Min. Req'd % </t>
  </si>
  <si>
    <t xml:space="preserve">Min. Req'd Amt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</si>
</sst>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0" fontId="1" fillId="0" borderId="0" xfId="1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164" fontId="5" fillId="2" borderId="2" xfId="0" applyNumberFormat="1" applyFont="1" applyFill="1" applyBorder="1" applyAlignment="1">
      <alignment horizontal="center"/>
    </xf>
    <xf numFmtId="4" fontId="6" fillId="2" borderId="3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15</xdr:row>
      <xdr:rowOff>47625</xdr:rowOff>
    </xdr:from>
    <xdr:to>
      <xdr:col>3</xdr:col>
      <xdr:colOff>800100</xdr:colOff>
      <xdr:row>20</xdr:row>
      <xdr:rowOff>76200</xdr:rowOff>
    </xdr:to>
    <xdr:sp macro="" textlink="">
      <xdr:nvSpPr>
        <xdr:cNvPr id="1025" name="Note"/>
        <xdr:cNvSpPr txBox="1">
          <a:spLocks noChangeArrowheads="1"/>
        </xdr:cNvSpPr>
      </xdr:nvSpPr>
      <xdr:spPr bwMode="auto">
        <a:xfrm>
          <a:off x="1028700" y="2514600"/>
          <a:ext cx="2238375" cy="838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Maximize:    E5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C4:D4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E8:E10&lt;=F8:F10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C4:D4&gt;=C13:D13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C4:D4&gt;=0</a:t>
          </a:r>
        </a:p>
      </xdr:txBody>
    </xdr:sp>
    <xdr:clientData/>
  </xdr:twoCellAnchor>
  <xdr:twoCellAnchor>
    <xdr:from>
      <xdr:col>1</xdr:col>
      <xdr:colOff>838200</xdr:colOff>
      <xdr:row>0</xdr:row>
      <xdr:rowOff>66675</xdr:rowOff>
    </xdr:from>
    <xdr:to>
      <xdr:col>4</xdr:col>
      <xdr:colOff>47625</xdr:colOff>
      <xdr:row>1</xdr:row>
      <xdr:rowOff>114300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447800" y="66675"/>
          <a:ext cx="20478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Furniture Manufacturer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15"/>
  <sheetViews>
    <sheetView tabSelected="1" workbookViewId="0">
      <selection activeCell="E5" sqref="E5"/>
    </sheetView>
  </sheetViews>
  <sheetFormatPr defaultRowHeight="13.2" x14ac:dyDescent="0.25"/>
  <cols>
    <col min="2" max="2" width="13.109375" customWidth="1"/>
    <col min="3" max="6" width="14.6640625" customWidth="1"/>
  </cols>
  <sheetData>
    <row r="3" spans="2:6" x14ac:dyDescent="0.25">
      <c r="C3" s="2" t="s">
        <v>0</v>
      </c>
      <c r="D3" s="2" t="s">
        <v>1</v>
      </c>
    </row>
    <row r="4" spans="2:6" ht="13.8" thickBot="1" x14ac:dyDescent="0.3">
      <c r="B4" s="3" t="s">
        <v>2</v>
      </c>
      <c r="C4" s="9">
        <v>405.79710144927532</v>
      </c>
      <c r="D4" s="9">
        <v>173.91304347826087</v>
      </c>
      <c r="E4" s="1" t="s">
        <v>3</v>
      </c>
    </row>
    <row r="5" spans="2:6" ht="14.4" thickTop="1" thickBot="1" x14ac:dyDescent="0.3">
      <c r="B5" s="3" t="s">
        <v>4</v>
      </c>
      <c r="C5" s="5">
        <v>350</v>
      </c>
      <c r="D5" s="5">
        <v>450</v>
      </c>
      <c r="E5" s="10">
        <f>SUMPRODUCT(C4:D4,C5:D5)</f>
        <v>220289.85507246375</v>
      </c>
    </row>
    <row r="6" spans="2:6" ht="13.8" thickTop="1" x14ac:dyDescent="0.25"/>
    <row r="7" spans="2:6" x14ac:dyDescent="0.25">
      <c r="B7" s="3" t="s">
        <v>5</v>
      </c>
      <c r="E7" s="2" t="s">
        <v>6</v>
      </c>
      <c r="F7" s="2" t="s">
        <v>7</v>
      </c>
    </row>
    <row r="8" spans="2:6" x14ac:dyDescent="0.25">
      <c r="B8" s="3" t="s">
        <v>8</v>
      </c>
      <c r="C8" s="2">
        <v>1.5</v>
      </c>
      <c r="D8" s="2">
        <v>2</v>
      </c>
      <c r="E8" s="11">
        <f>SUMPRODUCT(C8:D8,$C$4:$D$4)</f>
        <v>956.52173913043475</v>
      </c>
      <c r="F8" s="8">
        <v>1000</v>
      </c>
    </row>
    <row r="9" spans="2:6" x14ac:dyDescent="0.25">
      <c r="B9" s="3" t="s">
        <v>9</v>
      </c>
      <c r="C9" s="2">
        <v>3</v>
      </c>
      <c r="D9" s="2">
        <v>4.5</v>
      </c>
      <c r="E9" s="11">
        <f>SUMPRODUCT(C9:D9,$C$4:$D$4)</f>
        <v>2000</v>
      </c>
      <c r="F9" s="8">
        <v>2000</v>
      </c>
    </row>
    <row r="10" spans="2:6" x14ac:dyDescent="0.25">
      <c r="B10" s="3" t="s">
        <v>10</v>
      </c>
      <c r="C10" s="2">
        <v>2.5</v>
      </c>
      <c r="D10" s="2">
        <v>1.5</v>
      </c>
      <c r="E10" s="11">
        <f>SUMPRODUCT(C10:D10,$C$4:$D$4)</f>
        <v>1275.3623188405795</v>
      </c>
      <c r="F10" s="8">
        <v>1500</v>
      </c>
    </row>
    <row r="11" spans="2:6" x14ac:dyDescent="0.25">
      <c r="C11" s="1"/>
      <c r="D11" s="1"/>
    </row>
    <row r="12" spans="2:6" x14ac:dyDescent="0.25">
      <c r="B12" s="3" t="s">
        <v>11</v>
      </c>
      <c r="C12" s="6">
        <v>0.2</v>
      </c>
      <c r="D12" s="6">
        <v>0.3</v>
      </c>
    </row>
    <row r="13" spans="2:6" x14ac:dyDescent="0.25">
      <c r="B13" s="3" t="s">
        <v>12</v>
      </c>
      <c r="C13" s="7">
        <f>C12*SUM($C$4:$D$4)</f>
        <v>115.94202898550725</v>
      </c>
      <c r="D13" s="7">
        <f>D12*SUM($C$4:$D$4)</f>
        <v>173.91304347826087</v>
      </c>
    </row>
    <row r="15" spans="2:6" x14ac:dyDescent="0.25">
      <c r="B15" s="3"/>
      <c r="C15" s="4"/>
      <c r="D15" s="4"/>
    </row>
  </sheetData>
  <phoneticPr fontId="7" type="noConversion"/>
  <printOptions gridLines="1"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Production 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2010-09-09T00:49:31Z</dcterms:created>
  <dcterms:modified xsi:type="dcterms:W3CDTF">2018-08-05T13:11:37Z</dcterms:modified>
</cp:coreProperties>
</file>