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0.01-2019-sem2-Monash\2.FIT-3158-Business Decision Modelling\week3\tutorial\"/>
    </mc:Choice>
  </mc:AlternateContent>
  <bookViews>
    <workbookView xWindow="120" yWindow="105" windowWidth="9390" windowHeight="4980" activeTab="1"/>
  </bookViews>
  <sheets>
    <sheet name="Production Plan-workings" sheetId="5" r:id="rId1"/>
    <sheet name="Production Plan" sheetId="1" r:id="rId2"/>
    <sheet name="SMDA" sheetId="2" state="veryHidden" r:id=""/>
  </sheets>
  <definedNames>
    <definedName name="grb_async_callbacks" localSheetId="1" hidden="1">1</definedName>
    <definedName name="grb_async_callbacks" localSheetId="0" hidden="1">1</definedName>
    <definedName name="grb_bariter" localSheetId="1" hidden="1">1E+100</definedName>
    <definedName name="grb_bariter" localSheetId="0" hidden="1">1E+100</definedName>
    <definedName name="grb_bartol" localSheetId="1" hidden="1">0.00000001</definedName>
    <definedName name="grb_bartol" localSheetId="0" hidden="1">0.00000001</definedName>
    <definedName name="grb_crossover" localSheetId="1" hidden="1">-1</definedName>
    <definedName name="grb_crossover" localSheetId="0" hidden="1">-1</definedName>
    <definedName name="grb_cutoff" localSheetId="1" hidden="1">1E+100</definedName>
    <definedName name="grb_cutoff" localSheetId="0" hidden="1">1E+100</definedName>
    <definedName name="grb_cuts" localSheetId="1" hidden="1">-1</definedName>
    <definedName name="grb_cuts" localSheetId="0" hidden="1">-1</definedName>
    <definedName name="grb_focus" localSheetId="1" hidden="1">0</definedName>
    <definedName name="grb_focus" localSheetId="0" hidden="1">0</definedName>
    <definedName name="grb_heur" localSheetId="1" hidden="1">0.05</definedName>
    <definedName name="grb_heur" localSheetId="0" hidden="1">0.05</definedName>
    <definedName name="grb_improv" localSheetId="1" hidden="1">1E+100</definedName>
    <definedName name="grb_improv" localSheetId="0" hidden="1">1E+100</definedName>
    <definedName name="grb_infeas" localSheetId="1" hidden="1">0.000001</definedName>
    <definedName name="grb_infeas" localSheetId="0" hidden="1">0.000001</definedName>
    <definedName name="grb_inttol" localSheetId="1" hidden="1">0.00001</definedName>
    <definedName name="grb_inttol" localSheetId="0" hidden="1">0.00001</definedName>
    <definedName name="grb_method" localSheetId="1" hidden="1">-1</definedName>
    <definedName name="grb_method" localSheetId="0" hidden="1">-1</definedName>
    <definedName name="grb_nodefilestart" localSheetId="1" hidden="1">1E+100</definedName>
    <definedName name="grb_nodefilestart" localSheetId="0" hidden="1">1E+100</definedName>
    <definedName name="grb_optimal" localSheetId="1" hidden="1">0.000001</definedName>
    <definedName name="grb_optimal" localSheetId="0" hidden="1">0.000001</definedName>
    <definedName name="grb_order" localSheetId="1" hidden="1">-1</definedName>
    <definedName name="grb_order" localSheetId="0" hidden="1">-1</definedName>
    <definedName name="grb_presolve" localSheetId="1" hidden="1">-1</definedName>
    <definedName name="grb_presolve" localSheetId="0" hidden="1">-1</definedName>
    <definedName name="grb_pricing" localSheetId="1" hidden="1">-1</definedName>
    <definedName name="grb_pricing" localSheetId="0" hidden="1">-1</definedName>
    <definedName name="grb_psdtol" localSheetId="1" hidden="1">0.000001</definedName>
    <definedName name="grb_psdtol" localSheetId="0" hidden="1">0.000001</definedName>
    <definedName name="grb_qcptol" localSheetId="1" hidden="1">0.000001</definedName>
    <definedName name="grb_qcptol" localSheetId="0" hidden="1">0.000001</definedName>
    <definedName name="grb_relmip" localSheetId="1" hidden="1">0.0001</definedName>
    <definedName name="grb_relmip" localSheetId="0" hidden="1">0.0001</definedName>
    <definedName name="grb_seed" localSheetId="1" hidden="1">0</definedName>
    <definedName name="grb_seed" localSheetId="0" hidden="1">0</definedName>
    <definedName name="grb_submip" localSheetId="1" hidden="1">500</definedName>
    <definedName name="grb_submip" localSheetId="0" hidden="1">500</definedName>
    <definedName name="grb_symmetry" localSheetId="1" hidden="1">-1</definedName>
    <definedName name="grb_symmetry" localSheetId="0" hidden="1">-1</definedName>
    <definedName name="grb_threads" localSheetId="1" hidden="1">0</definedName>
    <definedName name="grb_threads" localSheetId="0" hidden="1">0</definedName>
    <definedName name="grb_var" localSheetId="1" hidden="1">-1</definedName>
    <definedName name="grb_var" localSheetId="0" hidden="1">-1</definedName>
    <definedName name="gurobi_qp" localSheetId="1" hidden="1">0</definedName>
    <definedName name="gurobi_qp" localSheetId="0" hidden="1">0</definedName>
    <definedName name="solver_adj" localSheetId="1" hidden="1">'Production Plan'!$C$4:$D$4</definedName>
    <definedName name="solver_adj" localSheetId="0" hidden="1">'Production Plan-workings'!$C$4:$D$4</definedName>
    <definedName name="solver_adj_ob" localSheetId="1" hidden="1">1</definedName>
    <definedName name="solver_adj_ob" localSheetId="0" hidden="1">1</definedName>
    <definedName name="solver_cha" localSheetId="1" hidden="1">0</definedName>
    <definedName name="solver_cha" localSheetId="0" hidden="1">0</definedName>
    <definedName name="solver_chc1" localSheetId="1" hidden="1">0</definedName>
    <definedName name="solver_chc1" localSheetId="0" hidden="1">0</definedName>
    <definedName name="solver_chc2" localSheetId="1" hidden="1">0</definedName>
    <definedName name="solver_chc2" localSheetId="0" hidden="1">0</definedName>
    <definedName name="solver_chc3" localSheetId="1" hidden="1">0</definedName>
    <definedName name="solver_chc3" localSheetId="0" hidden="1">0</definedName>
    <definedName name="solver_chn" localSheetId="1" hidden="1">4</definedName>
    <definedName name="solver_chn" localSheetId="0" hidden="1">4</definedName>
    <definedName name="solver_chp1" localSheetId="1" hidden="1">0</definedName>
    <definedName name="solver_chp1" localSheetId="0" hidden="1">0</definedName>
    <definedName name="solver_chp2" localSheetId="1" hidden="1">0</definedName>
    <definedName name="solver_chp2" localSheetId="0" hidden="1">0</definedName>
    <definedName name="solver_chp3" localSheetId="1" hidden="1">0</definedName>
    <definedName name="solver_chp3" localSheetId="0" hidden="1">0</definedName>
    <definedName name="solver_cht" localSheetId="1" hidden="1">0</definedName>
    <definedName name="solver_cht" localSheetId="0" hidden="1">0</definedName>
    <definedName name="solver_cir1" localSheetId="1" hidden="1">1</definedName>
    <definedName name="solver_cir1" localSheetId="0" hidden="1">1</definedName>
    <definedName name="solver_cir2" localSheetId="1" hidden="1">1</definedName>
    <definedName name="solver_cir2" localSheetId="0" hidden="1">1</definedName>
    <definedName name="solver_cir3" localSheetId="1" hidden="1">1</definedName>
    <definedName name="solver_cir3" localSheetId="0" hidden="1">1</definedName>
    <definedName name="solver_con" localSheetId="1" hidden="1">" "</definedName>
    <definedName name="solver_con" localSheetId="0" hidden="1">" "</definedName>
    <definedName name="solver_con1" localSheetId="1" hidden="1">" "</definedName>
    <definedName name="solver_con1" localSheetId="0" hidden="1">" "</definedName>
    <definedName name="solver_con2" localSheetId="1" hidden="1">" "</definedName>
    <definedName name="solver_con2" localSheetId="0" hidden="1">" "</definedName>
    <definedName name="solver_con3" localSheetId="1" hidden="1">" "</definedName>
    <definedName name="solver_con3" localSheetId="0" hidden="1">" "</definedName>
    <definedName name="solver_cvg" localSheetId="1" hidden="1">0.0001</definedName>
    <definedName name="solver_cvg" localSheetId="0" hidden="1">0.0001</definedName>
    <definedName name="solver_dia" localSheetId="1" hidden="1">5</definedName>
    <definedName name="solver_dia" localSheetId="0" hidden="1">5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2</definedName>
    <definedName name="solver_est" localSheetId="1" hidden="1">1</definedName>
    <definedName name="solver_est" localSheetId="0" hidden="1">1</definedName>
    <definedName name="solver_iao" localSheetId="1" hidden="1">0</definedName>
    <definedName name="solver_iao" localSheetId="0" hidden="1">0</definedName>
    <definedName name="solver_ibd" localSheetId="1" hidden="1">2</definedName>
    <definedName name="solver_ibd" localSheetId="0" hidden="1">2</definedName>
    <definedName name="solver_int" localSheetId="1" hidden="1">0</definedName>
    <definedName name="solver_int" localSheetId="0" hidden="1">0</definedName>
    <definedName name="solver_irs" localSheetId="1" hidden="1">0</definedName>
    <definedName name="solver_irs" localSheetId="0" hidden="1">0</definedName>
    <definedName name="solver_ism" localSheetId="1" hidden="1">0</definedName>
    <definedName name="solver_ism" localSheetId="0" hidden="1">0</definedName>
    <definedName name="solver_itr" localSheetId="1" hidden="1">100</definedName>
    <definedName name="solver_itr" localSheetId="0" hidden="1">100</definedName>
    <definedName name="solver_lhs_ob1" localSheetId="1" hidden="1">0</definedName>
    <definedName name="solver_lhs_ob1" localSheetId="0" hidden="1">0</definedName>
    <definedName name="solver_lhs_ob2" localSheetId="1" hidden="1">0</definedName>
    <definedName name="solver_lhs_ob2" localSheetId="0" hidden="1">0</definedName>
    <definedName name="solver_lhs_ob3" localSheetId="1" hidden="1">0</definedName>
    <definedName name="solver_lhs_ob3" localSheetId="0" hidden="1">0</definedName>
    <definedName name="solver_lhs1" localSheetId="1" hidden="1">'Production Plan'!$C$4:$D$4</definedName>
    <definedName name="solver_lhs1" localSheetId="0" hidden="1">'Production Plan-workings'!$C$4:$D$4</definedName>
    <definedName name="solver_lhs2" localSheetId="1" hidden="1">'Production Plan'!$E$11:$E$12</definedName>
    <definedName name="solver_lhs2" localSheetId="0" hidden="1">'Production Plan-workings'!$E$11:$E$12</definedName>
    <definedName name="solver_lhs3" localSheetId="1" hidden="1">'Production Plan'!$E$8:$E$10</definedName>
    <definedName name="solver_lhs3" localSheetId="0" hidden="1">'Production Plan-workings'!$E$8:$E$10</definedName>
    <definedName name="solver_lin" localSheetId="1" hidden="1">2</definedName>
    <definedName name="solver_lin" localSheetId="0" hidden="1">2</definedName>
    <definedName name="solver_loc" localSheetId="1" hidden="1">1</definedName>
    <definedName name="solver_loc" localSheetId="0" hidden="1">1</definedName>
    <definedName name="solver_lva" localSheetId="1" hidden="1">2</definedName>
    <definedName name="solver_lva" localSheetId="0" hidden="1">2</definedName>
    <definedName name="solver_mda" localSheetId="1" hidden="1">4</definedName>
    <definedName name="solver_mda" localSheetId="0" hidden="1">4</definedName>
    <definedName name="solver_mip" localSheetId="1" hidden="1">5000</definedName>
    <definedName name="solver_mip" localSheetId="0" hidden="1">5000</definedName>
    <definedName name="solver_mni" localSheetId="1" hidden="1">30</definedName>
    <definedName name="solver_mni" localSheetId="0" hidden="1">30</definedName>
    <definedName name="solver_mod" localSheetId="1" hidden="1">3</definedName>
    <definedName name="solver_mod" localSheetId="0" hidden="1">3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5000</definedName>
    <definedName name="solver_nod" localSheetId="0" hidden="1">5000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bc" localSheetId="1" hidden="1">0</definedName>
    <definedName name="solver_obc" localSheetId="0" hidden="1">0</definedName>
    <definedName name="solver_obp" localSheetId="1" hidden="1">0</definedName>
    <definedName name="solver_obp" localSheetId="0" hidden="1">0</definedName>
    <definedName name="solver_ofx" localSheetId="1" hidden="1">2</definedName>
    <definedName name="solver_ofx" localSheetId="0" hidden="1">2</definedName>
    <definedName name="solver_opt" localSheetId="1" hidden="1">'Production Plan'!$E$10</definedName>
    <definedName name="solver_opt" localSheetId="0" hidden="1">'Production Plan-workings'!$E$10</definedName>
    <definedName name="solver_opt_ob" localSheetId="1" hidden="1">1</definedName>
    <definedName name="solver_opt_ob" localSheetId="0" hidden="1">1</definedName>
    <definedName name="solver_piv" localSheetId="1" hidden="1">0.000001</definedName>
    <definedName name="solver_piv" localSheetId="0" hidden="1">0.000001</definedName>
    <definedName name="solver_pre" localSheetId="1" hidden="1">0.000001</definedName>
    <definedName name="solver_pre" localSheetId="0" hidden="1">0.000001</definedName>
    <definedName name="solver_pro" localSheetId="1" hidden="1">2</definedName>
    <definedName name="solver_pro" localSheetId="0" hidden="1">2</definedName>
    <definedName name="solver_psi" localSheetId="1" hidden="1">0</definedName>
    <definedName name="solver_psi" localSheetId="0" hidden="1">0</definedName>
    <definedName name="solver_rbv" localSheetId="1" hidden="1">1</definedName>
    <definedName name="solver_rbv" localSheetId="0" hidden="1">1</definedName>
    <definedName name="solver_rdp" localSheetId="1" hidden="1">0</definedName>
    <definedName name="solver_rdp" localSheetId="0" hidden="1">0</definedName>
    <definedName name="solver_reco1" localSheetId="1" hidden="1">0</definedName>
    <definedName name="solver_reco1" localSheetId="0" hidden="1">0</definedName>
    <definedName name="solver_reco2" localSheetId="1" hidden="1">0</definedName>
    <definedName name="solver_reco2" localSheetId="0" hidden="1">0</definedName>
    <definedName name="solver_reco3" localSheetId="1" hidden="1">0</definedName>
    <definedName name="solver_reco3" localSheetId="0" hidden="1">0</definedName>
    <definedName name="solver_red" localSheetId="1" hidden="1">0.000001</definedName>
    <definedName name="solver_red" localSheetId="0" hidden="1">0.000001</definedName>
    <definedName name="solver_rel1" localSheetId="1" hidden="1">3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1</definedName>
    <definedName name="solver_rel3" localSheetId="0" hidden="1">1</definedName>
    <definedName name="solver_reo" localSheetId="1" hidden="1">2</definedName>
    <definedName name="solver_reo" localSheetId="0" hidden="1">2</definedName>
    <definedName name="solver_rep" localSheetId="1" hidden="1">2</definedName>
    <definedName name="solver_rep" localSheetId="0" hidden="1">2</definedName>
    <definedName name="solver_rhs1" localSheetId="1" hidden="1">0</definedName>
    <definedName name="solver_rhs1" localSheetId="0" hidden="1">0</definedName>
    <definedName name="solver_rhs2" localSheetId="1" hidden="1">'Production Plan'!$F$11:$F$12</definedName>
    <definedName name="solver_rhs2" localSheetId="0" hidden="1">'Production Plan-workings'!$F$11:$F$12</definedName>
    <definedName name="solver_rhs3" localSheetId="1" hidden="1">'Production Plan'!$F$8:$F$10</definedName>
    <definedName name="solver_rhs3" localSheetId="0" hidden="1">'Production Plan-workings'!$F$8:$F$10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rsmp" hidden="1">2</definedName>
    <definedName name="solver_rtr" localSheetId="1" hidden="1">0</definedName>
    <definedName name="solver_rtr" localSheetId="0" hidden="1">0</definedName>
    <definedName name="solver_rxc1" localSheetId="1" hidden="1">1</definedName>
    <definedName name="solver_rxc1" localSheetId="0" hidden="1">1</definedName>
    <definedName name="solver_rxc2" localSheetId="1" hidden="1">1</definedName>
    <definedName name="solver_rxc2" localSheetId="0" hidden="1">1</definedName>
    <definedName name="solver_rxc3" localSheetId="1" hidden="1">1</definedName>
    <definedName name="solver_rxc3" localSheetId="0" hidden="1">1</definedName>
    <definedName name="solver_rxv" localSheetId="1" hidden="1">1</definedName>
    <definedName name="solver_rxv" localSheetId="0" hidden="1">1</definedName>
    <definedName name="solver_scl" localSheetId="1" hidden="1">2</definedName>
    <definedName name="solver_scl" localSheetId="0" hidden="1">2</definedName>
    <definedName name="solver_seed" hidden="1">0</definedName>
    <definedName name="solver_sel" localSheetId="1" hidden="1">1</definedName>
    <definedName name="solver_sel" localSheetId="0" hidden="1">1</definedName>
    <definedName name="solver_sho" localSheetId="1" hidden="1">2</definedName>
    <definedName name="solver_sho" localSheetId="0" hidden="1">2</definedName>
    <definedName name="solver_slv" localSheetId="1" hidden="1">0</definedName>
    <definedName name="solver_slv" localSheetId="0" hidden="1">0</definedName>
    <definedName name="solver_slvu" localSheetId="1" hidden="1">0</definedName>
    <definedName name="solver_slvu" localSheetId="0" hidden="1">0</definedName>
    <definedName name="solver_spid" localSheetId="1" hidden="1">" "</definedName>
    <definedName name="solver_spid" localSheetId="0" hidden="1">" "</definedName>
    <definedName name="solver_srvr" localSheetId="1" hidden="1">" "</definedName>
    <definedName name="solver_srvr" localSheetId="0" hidden="1">" "</definedName>
    <definedName name="solver_ssz" localSheetId="1" hidden="1">100</definedName>
    <definedName name="solver_ssz" localSheetId="0" hidden="1">100</definedName>
    <definedName name="solver_std" localSheetId="1" hidden="1">0</definedName>
    <definedName name="solver_std" localSheetId="0" hidden="1">0</definedName>
    <definedName name="solver_tim" localSheetId="1" hidden="1">100</definedName>
    <definedName name="solver_tim" localSheetId="0" hidden="1">100</definedName>
    <definedName name="solver_tmp" localSheetId="1" hidden="1">'Production Plan'!$C$15:$D$15</definedName>
    <definedName name="solver_tmp" localSheetId="0" hidden="1">'Production Plan-workings'!$C$15:$D$15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umod" localSheetId="1" hidden="1">1</definedName>
    <definedName name="solver_umod" localSheetId="0" hidden="1">1</definedName>
    <definedName name="solver_urs" localSheetId="1" hidden="1">0</definedName>
    <definedName name="solver_urs" localSheetId="0" hidden="1">0</definedName>
    <definedName name="solver_val" localSheetId="1" hidden="1">0</definedName>
    <definedName name="solver_val" localSheetId="0" hidden="1">0</definedName>
    <definedName name="solver_var" localSheetId="1" hidden="1">" "</definedName>
    <definedName name="solver_var" localSheetId="0" hidden="1">" "</definedName>
    <definedName name="solver_ver" localSheetId="1" hidden="1">3</definedName>
    <definedName name="solver_ver" localSheetId="0" hidden="1">3</definedName>
    <definedName name="solver_vir" localSheetId="1" hidden="1">1</definedName>
    <definedName name="solver_vir" localSheetId="0" hidden="1">1</definedName>
    <definedName name="solver_vol" localSheetId="1" hidden="1">0</definedName>
    <definedName name="solver_vol" localSheetId="0" hidden="1">0</definedName>
    <definedName name="solver_vst" localSheetId="1" hidden="1">0</definedName>
    <definedName name="solver_vst" localSheetId="0" hidden="1">0</definedName>
  </definedNames>
  <calcPr calcId="162913"/>
</workbook>
</file>

<file path=xl/calcChain.xml><?xml version="1.0" encoding="utf-8"?>
<calcChain xmlns="http://schemas.openxmlformats.org/spreadsheetml/2006/main">
  <c r="D17" i="5" l="1"/>
  <c r="C17" i="5"/>
  <c r="F12" i="5"/>
  <c r="F11" i="5"/>
  <c r="E11" i="1" l="1"/>
  <c r="E12" i="1"/>
  <c r="F12" i="1"/>
  <c r="F11" i="1"/>
  <c r="D17" i="1" l="1"/>
  <c r="C17" i="1"/>
  <c r="E5" i="1" l="1"/>
  <c r="E9" i="1"/>
  <c r="E10" i="1"/>
  <c r="E8" i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  <comment ref="E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  <comment ref="E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<sst xmlns="http://schemas.openxmlformats.org/spreadsheetml/2006/main" count="28" uniqueCount="14">
  <si>
    <t>Country</t>
  </si>
  <si>
    <t>Contemporary</t>
  </si>
  <si>
    <t xml:space="preserve">Units Produced </t>
  </si>
  <si>
    <t xml:space="preserve">Total Revenue </t>
  </si>
  <si>
    <t xml:space="preserve">Selling Price </t>
  </si>
  <si>
    <t xml:space="preserve">Resoureces Req'd </t>
  </si>
  <si>
    <t xml:space="preserve">Used </t>
  </si>
  <si>
    <t>Router</t>
  </si>
  <si>
    <t>Sander</t>
  </si>
  <si>
    <t>Polisher</t>
  </si>
  <si>
    <t xml:space="preserve">Min. Req'd % </t>
  </si>
  <si>
    <t xml:space="preserve">Min. Req'd Amt </t>
  </si>
  <si>
    <t>proportion</t>
  </si>
  <si>
    <t>Available  (RHS)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</si>
</sst>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9" x14ac:knownFonts="1">
    <font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indexed="17"/>
      <name val="Arial"/>
      <family val="2"/>
    </font>
    <font>
      <b/>
      <sz val="16"/>
      <color indexed="12"/>
      <name val="Arial"/>
      <family val="2"/>
    </font>
    <font>
      <b/>
      <sz val="16"/>
      <color indexed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2" fontId="0" fillId="0" borderId="0" xfId="0" applyNumberFormat="1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/>
    <xf numFmtId="164" fontId="5" fillId="0" borderId="0" xfId="0" applyNumberFormat="1" applyFont="1" applyAlignment="1">
      <alignment horizontal="center"/>
    </xf>
    <xf numFmtId="4" fontId="8" fillId="2" borderId="3" xfId="0" applyNumberFormat="1" applyFont="1" applyFill="1" applyBorder="1" applyAlignment="1">
      <alignment horizontal="center"/>
    </xf>
    <xf numFmtId="3" fontId="5" fillId="0" borderId="0" xfId="0" applyNumberFormat="1" applyFont="1" applyAlignment="1">
      <alignment horizontal="center"/>
    </xf>
    <xf numFmtId="10" fontId="5" fillId="0" borderId="0" xfId="1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6" fillId="3" borderId="1" xfId="0" applyNumberFormat="1" applyFont="1" applyFill="1" applyBorder="1" applyAlignment="1">
      <alignment horizontal="center"/>
    </xf>
    <xf numFmtId="164" fontId="7" fillId="4" borderId="2" xfId="0" applyNumberFormat="1" applyFont="1" applyFill="1" applyBorder="1" applyAlignment="1">
      <alignment horizontal="center"/>
    </xf>
    <xf numFmtId="3" fontId="5" fillId="5" borderId="0" xfId="0" applyNumberFormat="1" applyFont="1" applyFill="1" applyAlignment="1">
      <alignment horizontal="center"/>
    </xf>
    <xf numFmtId="4" fontId="8" fillId="6" borderId="3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347662</xdr:colOff>
      <xdr:row>18</xdr:row>
      <xdr:rowOff>95250</xdr:rowOff>
    </xdr:from>
    <xdr:to>
      <xdr:col>3</xdr:col>
      <xdr:colOff>728662</xdr:colOff>
      <xdr:row>23</xdr:row>
      <xdr:rowOff>123825</xdr:rowOff>
    </xdr:to>
    <xdr:sp macro="" textlink="">
      <xdr:nvSpPr>
        <xdr:cNvPr id="2" name="Note"/>
        <xdr:cNvSpPr txBox="1">
          <a:spLocks noChangeArrowheads="1"/>
        </xdr:cNvSpPr>
      </xdr:nvSpPr>
      <xdr:spPr bwMode="auto">
        <a:xfrm>
          <a:off x="957262" y="4667250"/>
          <a:ext cx="22193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Maximize:    E5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C4:D4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E8:E10&lt;=F8:F10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C4:D4&gt;=C13:D13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C4:D4&gt;=0</a:t>
          </a:r>
        </a:p>
      </xdr:txBody>
    </xdr:sp>
    <xdr:clientData/>
  </xdr:twoCellAnchor>
  <xdr:twoCellAnchor>
    <xdr:from>
      <xdr:col>1</xdr:col>
      <xdr:colOff>838200</xdr:colOff>
      <xdr:row>0</xdr:row>
      <xdr:rowOff>66675</xdr:rowOff>
    </xdr:from>
    <xdr:to>
      <xdr:col>4</xdr:col>
      <xdr:colOff>47625</xdr:colOff>
      <xdr:row>1</xdr:row>
      <xdr:rowOff>114300</xdr:rowOff>
    </xdr:to>
    <xdr:sp macro="[0]!Toggle" textlink="">
      <xdr:nvSpPr>
        <xdr:cNvPr id="3" name="Text 2"/>
        <xdr:cNvSpPr>
          <a:spLocks noChangeArrowheads="1"/>
        </xdr:cNvSpPr>
      </xdr:nvSpPr>
      <xdr:spPr bwMode="auto">
        <a:xfrm>
          <a:off x="1447800" y="66675"/>
          <a:ext cx="2019300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Furniture Manufacturer</a:t>
          </a:r>
        </a:p>
      </xdr:txBody>
    </xdr:sp>
    <xdr:clientData/>
  </xdr:twoCellAnchor>
  <xdr:twoCellAnchor editAs="oneCell">
    <xdr:from>
      <xdr:col>19</xdr:col>
      <xdr:colOff>220662</xdr:colOff>
      <xdr:row>1</xdr:row>
      <xdr:rowOff>142875</xdr:rowOff>
    </xdr:from>
    <xdr:to>
      <xdr:col>28</xdr:col>
      <xdr:colOff>461962</xdr:colOff>
      <xdr:row>15</xdr:row>
      <xdr:rowOff>96277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6162" y="301625"/>
          <a:ext cx="5670550" cy="3557027"/>
        </a:xfrm>
        <a:prstGeom prst="rect">
          <a:avLst/>
        </a:prstGeom>
      </xdr:spPr>
    </xdr:pic>
    <xdr:clientData/>
  </xdr:twoCellAnchor>
  <xdr:twoCellAnchor editAs="oneCell">
    <xdr:from>
      <xdr:col>7</xdr:col>
      <xdr:colOff>579437</xdr:colOff>
      <xdr:row>0</xdr:row>
      <xdr:rowOff>150445</xdr:rowOff>
    </xdr:from>
    <xdr:to>
      <xdr:col>18</xdr:col>
      <xdr:colOff>336147</xdr:colOff>
      <xdr:row>15</xdr:row>
      <xdr:rowOff>206375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65937" y="150445"/>
          <a:ext cx="6392460" cy="38183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347662</xdr:colOff>
      <xdr:row>18</xdr:row>
      <xdr:rowOff>95250</xdr:rowOff>
    </xdr:from>
    <xdr:to>
      <xdr:col>3</xdr:col>
      <xdr:colOff>728662</xdr:colOff>
      <xdr:row>23</xdr:row>
      <xdr:rowOff>123825</xdr:rowOff>
    </xdr:to>
    <xdr:sp macro="" textlink="">
      <xdr:nvSpPr>
        <xdr:cNvPr id="1025" name="Note"/>
        <xdr:cNvSpPr txBox="1">
          <a:spLocks noChangeArrowheads="1"/>
        </xdr:cNvSpPr>
      </xdr:nvSpPr>
      <xdr:spPr bwMode="auto">
        <a:xfrm>
          <a:off x="995362" y="2757488"/>
          <a:ext cx="2366963" cy="838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Maximize:    E5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C4:D4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E8:E10&lt;=F8:F10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C4:D4&gt;=C13:D13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C4:D4&gt;=0</a:t>
          </a:r>
        </a:p>
      </xdr:txBody>
    </xdr:sp>
    <xdr:clientData/>
  </xdr:twoCellAnchor>
  <xdr:twoCellAnchor>
    <xdr:from>
      <xdr:col>1</xdr:col>
      <xdr:colOff>838200</xdr:colOff>
      <xdr:row>0</xdr:row>
      <xdr:rowOff>66675</xdr:rowOff>
    </xdr:from>
    <xdr:to>
      <xdr:col>4</xdr:col>
      <xdr:colOff>47625</xdr:colOff>
      <xdr:row>1</xdr:row>
      <xdr:rowOff>114300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447800" y="66675"/>
          <a:ext cx="20478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Furniture Manufacturer</a:t>
          </a:r>
        </a:p>
      </xdr:txBody>
    </xdr:sp>
    <xdr:clientData/>
  </xdr:twoCellAnchor>
  <xdr:twoCellAnchor editAs="oneCell">
    <xdr:from>
      <xdr:col>6</xdr:col>
      <xdr:colOff>585787</xdr:colOff>
      <xdr:row>0</xdr:row>
      <xdr:rowOff>0</xdr:rowOff>
    </xdr:from>
    <xdr:to>
      <xdr:col>16</xdr:col>
      <xdr:colOff>223837</xdr:colOff>
      <xdr:row>14</xdr:row>
      <xdr:rowOff>48652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0" y="0"/>
          <a:ext cx="6115050" cy="3650690"/>
        </a:xfrm>
        <a:prstGeom prst="rect">
          <a:avLst/>
        </a:prstGeom>
      </xdr:spPr>
    </xdr:pic>
    <xdr:clientData/>
  </xdr:twoCellAnchor>
  <xdr:twoCellAnchor editAs="oneCell">
    <xdr:from>
      <xdr:col>6</xdr:col>
      <xdr:colOff>134937</xdr:colOff>
      <xdr:row>14</xdr:row>
      <xdr:rowOff>229820</xdr:rowOff>
    </xdr:from>
    <xdr:to>
      <xdr:col>16</xdr:col>
      <xdr:colOff>494897</xdr:colOff>
      <xdr:row>32</xdr:row>
      <xdr:rowOff>47625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4812" y="3738195"/>
          <a:ext cx="6392460" cy="38183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H26"/>
  <sheetViews>
    <sheetView topLeftCell="A2" zoomScale="60" zoomScaleNormal="60" workbookViewId="0">
      <selection activeCell="E20" sqref="E20"/>
    </sheetView>
  </sheetViews>
  <sheetFormatPr defaultRowHeight="12.75" x14ac:dyDescent="0.2"/>
  <cols>
    <col min="2" max="2" width="13" customWidth="1"/>
    <col min="3" max="4" width="14.5703125" customWidth="1"/>
    <col min="5" max="5" width="19.5703125" customWidth="1"/>
    <col min="6" max="6" width="14.5703125" customWidth="1"/>
  </cols>
  <sheetData>
    <row r="2" spans="1:8" ht="20.25" x14ac:dyDescent="0.3">
      <c r="A2" s="2"/>
      <c r="B2" s="2"/>
      <c r="C2" s="2"/>
      <c r="D2" s="2"/>
      <c r="E2" s="2"/>
      <c r="F2" s="2"/>
    </row>
    <row r="3" spans="1:8" ht="20.25" x14ac:dyDescent="0.3">
      <c r="A3" s="2"/>
      <c r="B3" s="2"/>
      <c r="C3" s="3" t="s">
        <v>0</v>
      </c>
      <c r="D3" s="3" t="s">
        <v>1</v>
      </c>
      <c r="E3" s="2"/>
      <c r="F3" s="2"/>
      <c r="H3" s="1"/>
    </row>
    <row r="4" spans="1:8" ht="21" thickBot="1" x14ac:dyDescent="0.35">
      <c r="A4" s="2"/>
      <c r="B4" s="4" t="s">
        <v>2</v>
      </c>
      <c r="C4" s="12"/>
      <c r="D4" s="12"/>
      <c r="E4" s="5" t="s">
        <v>3</v>
      </c>
      <c r="F4" s="2"/>
    </row>
    <row r="5" spans="1:8" ht="21.75" thickTop="1" thickBot="1" x14ac:dyDescent="0.35">
      <c r="A5" s="2"/>
      <c r="B5" s="4" t="s">
        <v>4</v>
      </c>
      <c r="C5" s="6">
        <v>350</v>
      </c>
      <c r="D5" s="6">
        <v>450</v>
      </c>
      <c r="E5" s="13"/>
      <c r="F5" s="2"/>
    </row>
    <row r="6" spans="1:8" ht="21" thickTop="1" x14ac:dyDescent="0.3">
      <c r="A6" s="2"/>
      <c r="B6" s="2"/>
      <c r="C6" s="2"/>
      <c r="D6" s="2"/>
      <c r="E6" s="2"/>
      <c r="F6" s="2"/>
    </row>
    <row r="7" spans="1:8" ht="20.25" x14ac:dyDescent="0.3">
      <c r="A7" s="2"/>
      <c r="B7" s="4" t="s">
        <v>5</v>
      </c>
      <c r="C7" s="2"/>
      <c r="D7" s="2"/>
      <c r="E7" s="3" t="s">
        <v>6</v>
      </c>
      <c r="F7" s="3" t="s">
        <v>13</v>
      </c>
    </row>
    <row r="8" spans="1:8" ht="20.25" x14ac:dyDescent="0.3">
      <c r="A8" s="2"/>
      <c r="B8" s="4" t="s">
        <v>7</v>
      </c>
      <c r="C8" s="3">
        <v>1.5</v>
      </c>
      <c r="D8" s="3">
        <v>2</v>
      </c>
      <c r="E8" s="15"/>
      <c r="F8" s="14">
        <v>1000</v>
      </c>
    </row>
    <row r="9" spans="1:8" ht="20.25" x14ac:dyDescent="0.3">
      <c r="A9" s="2"/>
      <c r="B9" s="4" t="s">
        <v>8</v>
      </c>
      <c r="C9" s="3">
        <v>3</v>
      </c>
      <c r="D9" s="3">
        <v>4.5</v>
      </c>
      <c r="E9" s="15"/>
      <c r="F9" s="14">
        <v>2000</v>
      </c>
    </row>
    <row r="10" spans="1:8" ht="20.25" x14ac:dyDescent="0.3">
      <c r="A10" s="2"/>
      <c r="B10" s="4" t="s">
        <v>9</v>
      </c>
      <c r="C10" s="3">
        <v>2.5</v>
      </c>
      <c r="D10" s="3">
        <v>1.5</v>
      </c>
      <c r="E10" s="15"/>
      <c r="F10" s="14">
        <v>1500</v>
      </c>
    </row>
    <row r="11" spans="1:8" ht="20.25" x14ac:dyDescent="0.3">
      <c r="A11" s="2"/>
      <c r="B11" s="4" t="s">
        <v>10</v>
      </c>
      <c r="C11" s="3">
        <v>1</v>
      </c>
      <c r="D11" s="3"/>
      <c r="E11" s="15"/>
      <c r="F11" s="14">
        <f>0.2*(C4+D4)</f>
        <v>0</v>
      </c>
    </row>
    <row r="12" spans="1:8" ht="20.25" x14ac:dyDescent="0.3">
      <c r="A12" s="2"/>
      <c r="B12" s="4" t="s">
        <v>11</v>
      </c>
      <c r="C12" s="3"/>
      <c r="D12" s="3">
        <v>1</v>
      </c>
      <c r="E12" s="15"/>
      <c r="F12" s="14">
        <f>0.3*(C4+D4)</f>
        <v>0</v>
      </c>
    </row>
    <row r="13" spans="1:8" ht="20.25" x14ac:dyDescent="0.3">
      <c r="A13" s="2"/>
      <c r="B13" s="2"/>
      <c r="C13" s="5"/>
      <c r="D13" s="5"/>
      <c r="E13" s="2"/>
      <c r="F13" s="2"/>
    </row>
    <row r="14" spans="1:8" ht="20.25" x14ac:dyDescent="0.3">
      <c r="A14" s="2"/>
      <c r="B14" s="4"/>
      <c r="C14" s="9"/>
      <c r="D14" s="9"/>
      <c r="E14" s="2"/>
      <c r="F14" s="2"/>
    </row>
    <row r="15" spans="1:8" ht="20.25" x14ac:dyDescent="0.3">
      <c r="A15" s="2"/>
      <c r="B15" s="4"/>
      <c r="C15" s="10"/>
      <c r="D15" s="10"/>
      <c r="E15" s="2"/>
      <c r="F15" s="2"/>
    </row>
    <row r="16" spans="1:8" ht="20.25" x14ac:dyDescent="0.3">
      <c r="A16" s="2"/>
      <c r="B16" s="2"/>
      <c r="C16" s="2"/>
      <c r="D16" s="2"/>
      <c r="E16" s="2"/>
      <c r="F16" s="2"/>
    </row>
    <row r="17" spans="1:6" ht="20.25" x14ac:dyDescent="0.3">
      <c r="A17" s="2"/>
      <c r="B17" s="4" t="s">
        <v>12</v>
      </c>
      <c r="C17" s="11" t="e">
        <f>C4/(C4+D4)</f>
        <v>#DIV/0!</v>
      </c>
      <c r="D17" s="11" t="e">
        <f>D4/(C4+D4)</f>
        <v>#DIV/0!</v>
      </c>
      <c r="E17" s="2"/>
      <c r="F17" s="2"/>
    </row>
    <row r="18" spans="1:6" ht="20.25" x14ac:dyDescent="0.3">
      <c r="A18" s="2"/>
      <c r="B18" s="2"/>
      <c r="C18" s="2"/>
      <c r="D18" s="2"/>
      <c r="E18" s="2"/>
      <c r="F18" s="2"/>
    </row>
    <row r="19" spans="1:6" ht="20.25" x14ac:dyDescent="0.3">
      <c r="A19" s="2"/>
      <c r="B19" s="2"/>
      <c r="C19" s="2"/>
      <c r="D19" s="2"/>
      <c r="E19" s="2"/>
      <c r="F19" s="2"/>
    </row>
    <row r="20" spans="1:6" ht="20.25" x14ac:dyDescent="0.3">
      <c r="A20" s="2"/>
      <c r="B20" s="2"/>
      <c r="C20" s="2"/>
      <c r="D20" s="2"/>
      <c r="E20" s="2"/>
      <c r="F20" s="2"/>
    </row>
    <row r="21" spans="1:6" ht="20.25" x14ac:dyDescent="0.3">
      <c r="A21" s="2"/>
      <c r="B21" s="2"/>
      <c r="C21" s="2"/>
      <c r="D21" s="2"/>
      <c r="E21" s="2"/>
      <c r="F21" s="2"/>
    </row>
    <row r="22" spans="1:6" ht="20.25" x14ac:dyDescent="0.3">
      <c r="A22" s="2"/>
      <c r="B22" s="2"/>
      <c r="C22" s="2"/>
      <c r="D22" s="2"/>
      <c r="E22" s="2"/>
      <c r="F22" s="2"/>
    </row>
    <row r="23" spans="1:6" ht="20.25" x14ac:dyDescent="0.3">
      <c r="A23" s="2"/>
      <c r="B23" s="2"/>
      <c r="C23" s="2"/>
      <c r="D23" s="2"/>
      <c r="E23" s="2"/>
      <c r="F23" s="2"/>
    </row>
    <row r="24" spans="1:6" ht="20.25" x14ac:dyDescent="0.3">
      <c r="A24" s="2"/>
      <c r="B24" s="2"/>
      <c r="C24" s="2"/>
      <c r="D24" s="2"/>
      <c r="E24" s="2"/>
      <c r="F24" s="2"/>
    </row>
    <row r="25" spans="1:6" ht="20.25" x14ac:dyDescent="0.3">
      <c r="A25" s="2"/>
      <c r="B25" s="2"/>
      <c r="C25" s="2"/>
      <c r="D25" s="2"/>
      <c r="E25" s="2"/>
      <c r="F25" s="2"/>
    </row>
    <row r="26" spans="1:6" ht="20.25" x14ac:dyDescent="0.3">
      <c r="A26" s="2"/>
      <c r="B26" s="2"/>
      <c r="C26" s="2"/>
      <c r="D26" s="2"/>
      <c r="E26" s="2"/>
      <c r="F26" s="2"/>
    </row>
  </sheetData>
  <printOptions gridLines="1"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H26"/>
  <sheetViews>
    <sheetView tabSelected="1" topLeftCell="A2" zoomScale="60" zoomScaleNormal="60" workbookViewId="0">
      <selection activeCell="E17" sqref="E17"/>
    </sheetView>
  </sheetViews>
  <sheetFormatPr defaultRowHeight="12.75" x14ac:dyDescent="0.2"/>
  <cols>
    <col min="2" max="2" width="13" customWidth="1"/>
    <col min="3" max="4" width="14.5703125" customWidth="1"/>
    <col min="5" max="5" width="19.28515625" customWidth="1"/>
    <col min="6" max="6" width="14.5703125" customWidth="1"/>
  </cols>
  <sheetData>
    <row r="2" spans="1:8" ht="20.25" x14ac:dyDescent="0.3">
      <c r="A2" s="2"/>
      <c r="B2" s="2"/>
      <c r="C2" s="2"/>
      <c r="D2" s="2"/>
      <c r="E2" s="2"/>
      <c r="F2" s="2"/>
    </row>
    <row r="3" spans="1:8" ht="20.25" x14ac:dyDescent="0.3">
      <c r="A3" s="2"/>
      <c r="B3" s="2"/>
      <c r="C3" s="3" t="s">
        <v>0</v>
      </c>
      <c r="D3" s="3" t="s">
        <v>1</v>
      </c>
      <c r="E3" s="2"/>
      <c r="F3" s="2"/>
      <c r="H3" s="1"/>
    </row>
    <row r="4" spans="1:8" ht="21" thickBot="1" x14ac:dyDescent="0.35">
      <c r="A4" s="2"/>
      <c r="B4" s="4" t="s">
        <v>2</v>
      </c>
      <c r="C4" s="12">
        <v>405.79710144927543</v>
      </c>
      <c r="D4" s="12">
        <v>173.9130434782609</v>
      </c>
      <c r="E4" s="5" t="s">
        <v>3</v>
      </c>
      <c r="F4" s="2"/>
    </row>
    <row r="5" spans="1:8" ht="21.75" thickTop="1" thickBot="1" x14ac:dyDescent="0.35">
      <c r="A5" s="2"/>
      <c r="B5" s="4" t="s">
        <v>4</v>
      </c>
      <c r="C5" s="6">
        <v>350</v>
      </c>
      <c r="D5" s="6">
        <v>450</v>
      </c>
      <c r="E5" s="13">
        <f>SUMPRODUCT(C4:D4,C5:D5)</f>
        <v>220289.8550724638</v>
      </c>
      <c r="F5" s="2"/>
    </row>
    <row r="6" spans="1:8" ht="21" thickTop="1" x14ac:dyDescent="0.3">
      <c r="A6" s="2"/>
      <c r="B6" s="2"/>
      <c r="C6" s="2"/>
      <c r="D6" s="2"/>
      <c r="E6" s="2"/>
      <c r="F6" s="2"/>
    </row>
    <row r="7" spans="1:8" ht="20.25" x14ac:dyDescent="0.3">
      <c r="A7" s="2"/>
      <c r="B7" s="4" t="s">
        <v>5</v>
      </c>
      <c r="C7" s="2"/>
      <c r="D7" s="2"/>
      <c r="E7" s="3" t="s">
        <v>6</v>
      </c>
      <c r="F7" s="3" t="s">
        <v>13</v>
      </c>
    </row>
    <row r="8" spans="1:8" ht="20.25" x14ac:dyDescent="0.3">
      <c r="A8" s="2"/>
      <c r="B8" s="4" t="s">
        <v>7</v>
      </c>
      <c r="C8" s="3">
        <v>1.5</v>
      </c>
      <c r="D8" s="3">
        <v>2</v>
      </c>
      <c r="E8" s="7">
        <f>SUMPRODUCT(C8:D8,$C$4:$D$4)</f>
        <v>956.52173913043498</v>
      </c>
      <c r="F8" s="8">
        <v>1000</v>
      </c>
    </row>
    <row r="9" spans="1:8" ht="20.25" x14ac:dyDescent="0.3">
      <c r="A9" s="2"/>
      <c r="B9" s="4" t="s">
        <v>8</v>
      </c>
      <c r="C9" s="3">
        <v>3</v>
      </c>
      <c r="D9" s="3">
        <v>4.5</v>
      </c>
      <c r="E9" s="7">
        <f>SUMPRODUCT(C9:D9,$C$4:$D$4)</f>
        <v>2000.0000000000005</v>
      </c>
      <c r="F9" s="8">
        <v>2000</v>
      </c>
    </row>
    <row r="10" spans="1:8" ht="20.25" x14ac:dyDescent="0.3">
      <c r="A10" s="2"/>
      <c r="B10" s="4" t="s">
        <v>9</v>
      </c>
      <c r="C10" s="3">
        <v>2.5</v>
      </c>
      <c r="D10" s="3">
        <v>1.5</v>
      </c>
      <c r="E10" s="7">
        <f>SUMPRODUCT(C10:D10,$C$4:$D$4)</f>
        <v>1275.36231884058</v>
      </c>
      <c r="F10" s="8">
        <v>1500</v>
      </c>
    </row>
    <row r="11" spans="1:8" ht="20.25" x14ac:dyDescent="0.3">
      <c r="A11" s="2"/>
      <c r="B11" s="4" t="s">
        <v>10</v>
      </c>
      <c r="C11" s="3">
        <v>1</v>
      </c>
      <c r="D11" s="3"/>
      <c r="E11" s="7">
        <f>SUMPRODUCT(C11:D11,$C$4:$D$4)</f>
        <v>405.79710144927543</v>
      </c>
      <c r="F11" s="8">
        <f>0.2*(C4+D4)</f>
        <v>115.94202898550728</v>
      </c>
    </row>
    <row r="12" spans="1:8" ht="20.25" x14ac:dyDescent="0.3">
      <c r="A12" s="2"/>
      <c r="B12" s="4" t="s">
        <v>11</v>
      </c>
      <c r="C12" s="3"/>
      <c r="D12" s="3">
        <v>1</v>
      </c>
      <c r="E12" s="7">
        <f t="shared" ref="E12" si="0">SUMPRODUCT(C12:D12,$C$4:$D$4)</f>
        <v>173.9130434782609</v>
      </c>
      <c r="F12" s="8">
        <f>0.3*(C4+D4)</f>
        <v>173.9130434782609</v>
      </c>
    </row>
    <row r="13" spans="1:8" ht="20.25" x14ac:dyDescent="0.3">
      <c r="A13" s="2"/>
      <c r="B13" s="2"/>
      <c r="C13" s="5"/>
      <c r="D13" s="5"/>
      <c r="E13" s="2"/>
      <c r="F13" s="2"/>
    </row>
    <row r="14" spans="1:8" ht="20.25" x14ac:dyDescent="0.3">
      <c r="A14" s="2"/>
      <c r="B14" s="4"/>
      <c r="C14" s="9"/>
      <c r="D14" s="9"/>
      <c r="E14" s="2"/>
      <c r="F14" s="2"/>
    </row>
    <row r="15" spans="1:8" ht="20.25" x14ac:dyDescent="0.3">
      <c r="A15" s="2"/>
      <c r="B15" s="4"/>
      <c r="C15" s="10"/>
      <c r="D15" s="10"/>
      <c r="E15" s="2"/>
      <c r="F15" s="2"/>
    </row>
    <row r="16" spans="1:8" ht="20.25" x14ac:dyDescent="0.3">
      <c r="A16" s="2"/>
      <c r="B16" s="2"/>
      <c r="C16" s="2"/>
      <c r="D16" s="2"/>
      <c r="E16" s="2"/>
      <c r="F16" s="2"/>
    </row>
    <row r="17" spans="1:6" ht="20.25" x14ac:dyDescent="0.3">
      <c r="A17" s="2"/>
      <c r="B17" s="4" t="s">
        <v>12</v>
      </c>
      <c r="C17" s="11">
        <f>C4/(C4+D4)</f>
        <v>0.7</v>
      </c>
      <c r="D17" s="11">
        <f>D4/(C4+D4)</f>
        <v>0.3</v>
      </c>
      <c r="E17" s="2"/>
      <c r="F17" s="2"/>
    </row>
    <row r="18" spans="1:6" ht="20.25" x14ac:dyDescent="0.3">
      <c r="A18" s="2"/>
      <c r="B18" s="2"/>
      <c r="C18" s="2"/>
      <c r="D18" s="2"/>
      <c r="E18" s="2"/>
      <c r="F18" s="2"/>
    </row>
    <row r="19" spans="1:6" ht="20.25" x14ac:dyDescent="0.3">
      <c r="A19" s="2"/>
      <c r="B19" s="2"/>
      <c r="C19" s="2"/>
      <c r="D19" s="2"/>
      <c r="E19" s="2"/>
      <c r="F19" s="2"/>
    </row>
    <row r="20" spans="1:6" ht="20.25" x14ac:dyDescent="0.3">
      <c r="A20" s="2"/>
      <c r="B20" s="2"/>
      <c r="C20" s="2"/>
      <c r="D20" s="2"/>
      <c r="E20" s="2"/>
      <c r="F20" s="2"/>
    </row>
    <row r="21" spans="1:6" ht="20.25" x14ac:dyDescent="0.3">
      <c r="A21" s="2"/>
      <c r="B21" s="2"/>
      <c r="C21" s="2"/>
      <c r="D21" s="2"/>
      <c r="E21" s="2"/>
      <c r="F21" s="2"/>
    </row>
    <row r="22" spans="1:6" ht="20.25" x14ac:dyDescent="0.3">
      <c r="A22" s="2"/>
      <c r="B22" s="2"/>
      <c r="C22" s="2"/>
      <c r="D22" s="2"/>
      <c r="E22" s="2"/>
      <c r="F22" s="2"/>
    </row>
    <row r="23" spans="1:6" ht="20.25" x14ac:dyDescent="0.3">
      <c r="A23" s="2"/>
      <c r="B23" s="2"/>
      <c r="C23" s="2"/>
      <c r="D23" s="2"/>
      <c r="E23" s="2"/>
      <c r="F23" s="2"/>
    </row>
    <row r="24" spans="1:6" ht="20.25" x14ac:dyDescent="0.3">
      <c r="A24" s="2"/>
      <c r="B24" s="2"/>
      <c r="C24" s="2"/>
      <c r="D24" s="2"/>
      <c r="E24" s="2"/>
      <c r="F24" s="2"/>
    </row>
    <row r="25" spans="1:6" ht="20.25" x14ac:dyDescent="0.3">
      <c r="A25" s="2"/>
      <c r="B25" s="2"/>
      <c r="C25" s="2"/>
      <c r="D25" s="2"/>
      <c r="E25" s="2"/>
      <c r="F25" s="2"/>
    </row>
    <row r="26" spans="1:6" ht="20.25" x14ac:dyDescent="0.3">
      <c r="A26" s="2"/>
      <c r="B26" s="2"/>
      <c r="C26" s="2"/>
      <c r="D26" s="2"/>
      <c r="E26" s="2"/>
      <c r="F26" s="2"/>
    </row>
  </sheetData>
  <phoneticPr fontId="3" type="noConversion"/>
  <printOptions gridLines="1"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Production Plan-workings</vt:lpstr>
      <vt:lpstr>Production 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Annista Wijayanayake</cp:lastModifiedBy>
  <dcterms:created xsi:type="dcterms:W3CDTF">2010-09-09T00:49:31Z</dcterms:created>
  <dcterms:modified xsi:type="dcterms:W3CDTF">2019-08-16T08:05:39Z</dcterms:modified>
</cp:coreProperties>
</file>