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ad.monash.edu\home\User081\phlee\Documents\2018\FIT3158\Tutorial\Week 3\Solution\"/>
    </mc:Choice>
  </mc:AlternateContent>
  <bookViews>
    <workbookView xWindow="360" yWindow="300" windowWidth="9132" windowHeight="4752"/>
  </bookViews>
  <sheets>
    <sheet name="Coal Blending Report" sheetId="1" r:id="rId1"/>
    <sheet name="SMDA" sheetId="2" state="veryHidden" r:id=""/>
  </sheets>
  <definedNames>
    <definedName name="coin_cuttype" localSheetId="0" hidden="1">1</definedName>
    <definedName name="coin_dualtol" localSheetId="0" hidden="1">0.0000001</definedName>
    <definedName name="coin_heurs" localSheetId="0" hidden="1">1</definedName>
    <definedName name="coin_integerpresolve" localSheetId="0" hidden="1">1</definedName>
    <definedName name="coin_presolve1" localSheetId="0" hidden="1">1</definedName>
    <definedName name="coin_primaltol" localSheetId="0" hidden="1">0.0000001</definedName>
    <definedName name="solver_adj" localSheetId="0" hidden="1">'Coal Blending Report'!$F$5:$F$7</definedName>
    <definedName name="solver_adj_ob" localSheetId="0" hidden="1">1</definedName>
    <definedName name="solver_cha" localSheetId="0" hidden="1">0</definedName>
    <definedName name="solver_chc1" localSheetId="0" hidden="1">0</definedName>
    <definedName name="solver_chc2" localSheetId="0" hidden="1">0</definedName>
    <definedName name="solver_chc3" localSheetId="0" hidden="1">0</definedName>
    <definedName name="solver_chn" localSheetId="0" hidden="1">4</definedName>
    <definedName name="solver_chp1" localSheetId="0" hidden="1">0</definedName>
    <definedName name="solver_chp2" localSheetId="0" hidden="1">0</definedName>
    <definedName name="solver_chp3" localSheetId="0" hidden="1">0</definedName>
    <definedName name="solver_cht" localSheetId="0" hidden="1">0</definedName>
    <definedName name="solver_cir1" localSheetId="0" hidden="1">1</definedName>
    <definedName name="solver_cir2" localSheetId="0" hidden="1">1</definedName>
    <definedName name="solver_cir3" localSheetId="0" hidden="1">1</definedName>
    <definedName name="solver_con" localSheetId="0" hidden="1">" "</definedName>
    <definedName name="solver_con1" localSheetId="0" hidden="1">" "</definedName>
    <definedName name="solver_con2" localSheetId="0" hidden="1">" "</definedName>
    <definedName name="solver_con3" localSheetId="0" hidden="1">" "</definedName>
    <definedName name="solver_cvg" localSheetId="0" hidden="1">0.0001</definedName>
    <definedName name="solver_dia" localSheetId="0" hidden="1">5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ao" localSheetId="0" hidden="1">0</definedName>
    <definedName name="solver_ibd" localSheetId="0" hidden="1">2</definedName>
    <definedName name="solver_int" localSheetId="0" hidden="1">0</definedName>
    <definedName name="solver_irs" localSheetId="0" hidden="1">0</definedName>
    <definedName name="solver_ism" localSheetId="0" hidden="1">0</definedName>
    <definedName name="solver_itr" localSheetId="0" hidden="1">100</definedName>
    <definedName name="solver_kiv" localSheetId="0" hidden="1">2E+30</definedName>
    <definedName name="solver_lhs_ob1" localSheetId="0" hidden="1">0</definedName>
    <definedName name="solver_lhs_ob2" localSheetId="0" hidden="1">0</definedName>
    <definedName name="solver_lhs_ob3" localSheetId="0" hidden="1">0</definedName>
    <definedName name="solver_lhs1" localSheetId="0" hidden="1">'Coal Blending Report'!$C$8:$D$8</definedName>
    <definedName name="solver_lhs2" localSheetId="0" hidden="1">'Coal Blending Report'!$F$5:$F$7</definedName>
    <definedName name="solver_lhs3" localSheetId="0" hidden="1">'Coal Blending Report'!$F$8</definedName>
    <definedName name="solver_lin" localSheetId="0" hidden="1">1</definedName>
    <definedName name="solver_loc" localSheetId="0" hidden="1">1</definedName>
    <definedName name="solver_lva" localSheetId="0" hidden="1">2</definedName>
    <definedName name="solver_mda" localSheetId="0" hidden="1">4</definedName>
    <definedName name="solver_mip" localSheetId="0" hidden="1">5000</definedName>
    <definedName name="solver_mni" localSheetId="0" hidden="1">30</definedName>
    <definedName name="solver_mod" localSheetId="0" hidden="1">3</definedName>
    <definedName name="solver_mrt" localSheetId="0" hidden="1">0.075</definedName>
    <definedName name="solver_neg" localSheetId="0" hidden="1">2</definedName>
    <definedName name="solver_nod" localSheetId="0" hidden="1">5000</definedName>
    <definedName name="solver_ntr" localSheetId="0" hidden="1">0</definedName>
    <definedName name="solver_ntri" hidden="1">1000</definedName>
    <definedName name="solver_num" localSheetId="0" hidden="1">3</definedName>
    <definedName name="solver_nwt" localSheetId="0" hidden="1">1</definedName>
    <definedName name="solver_obc" localSheetId="0" hidden="1">0</definedName>
    <definedName name="solver_obp" localSheetId="0" hidden="1">0</definedName>
    <definedName name="solver_ofx" localSheetId="0" hidden="1">2</definedName>
    <definedName name="solver_opt" localSheetId="0" hidden="1">'Coal Blending Report'!$E$8</definedName>
    <definedName name="solver_opt_ob" localSheetId="0" hidden="1">1</definedName>
    <definedName name="solver_piv" localSheetId="0" hidden="1">0.000001</definedName>
    <definedName name="solver_pre" localSheetId="0" hidden="1">0.000001</definedName>
    <definedName name="solver_pro" localSheetId="0" hidden="1">2</definedName>
    <definedName name="solver_psi" localSheetId="0" hidden="1">0</definedName>
    <definedName name="solver_rbv" localSheetId="0" hidden="1">1</definedName>
    <definedName name="solver_rdp" localSheetId="0" hidden="1">0</definedName>
    <definedName name="solver_red" localSheetId="0" hidden="1">0.000001</definedName>
    <definedName name="solver_rel1" localSheetId="0" hidden="1">1</definedName>
    <definedName name="solver_rel2" localSheetId="0" hidden="1">3</definedName>
    <definedName name="solver_rel3" localSheetId="0" hidden="1">2</definedName>
    <definedName name="solver_reo" localSheetId="0" hidden="1">2</definedName>
    <definedName name="solver_rep" localSheetId="0" hidden="1">2</definedName>
    <definedName name="solver_rhs1" localSheetId="0" hidden="1">'Coal Blending Report'!$C$9:$D$9</definedName>
    <definedName name="solver_rhs2" localSheetId="0" hidden="1">0</definedName>
    <definedName name="solver_rhs3" localSheetId="0" hidden="1">1</definedName>
    <definedName name="solver_rlx" localSheetId="0" hidden="1">0</definedName>
    <definedName name="solver_rsmp" hidden="1">2</definedName>
    <definedName name="solver_rtr" localSheetId="0" hidden="1">0</definedName>
    <definedName name="solver_rxc1" localSheetId="0" hidden="1">1</definedName>
    <definedName name="solver_rxc2" localSheetId="0" hidden="1">1</definedName>
    <definedName name="solver_rxc3" localSheetId="0" hidden="1">1</definedName>
    <definedName name="solver_rxv" localSheetId="0" hidden="1">1</definedName>
    <definedName name="solver_scl" localSheetId="0" hidden="1">2</definedName>
    <definedName name="solver_seed" hidden="1">0</definedName>
    <definedName name="solver_sel" localSheetId="0" hidden="1">1</definedName>
    <definedName name="solver_sho" localSheetId="0" hidden="1">2</definedName>
    <definedName name="solver_slv" localSheetId="0" hidden="1">0</definedName>
    <definedName name="solver_slvu" localSheetId="0" hidden="1">0</definedName>
    <definedName name="solver_ssz" localSheetId="0" hidden="1">100</definedName>
    <definedName name="solver_std" localSheetId="0" hidden="1">1</definedName>
    <definedName name="solver_tim" localSheetId="0" hidden="1">100</definedName>
    <definedName name="solver_tmp" localSheetId="0" hidden="1">'Coal Blending Report'!$C$9:$D$9</definedName>
    <definedName name="solver_tol" localSheetId="0" hidden="1">0.05</definedName>
    <definedName name="solver_typ" localSheetId="0" hidden="1">1</definedName>
    <definedName name="solver_umod" localSheetId="0" hidden="1">1</definedName>
    <definedName name="solver_urs" localSheetId="0" hidden="1">0</definedName>
    <definedName name="solver_val" localSheetId="0" hidden="1">0</definedName>
    <definedName name="solver_var" localSheetId="0" hidden="1">" "</definedName>
    <definedName name="solver_ver" localSheetId="0" hidden="1">11</definedName>
    <definedName name="solver_vir" localSheetId="0" hidden="1">1</definedName>
    <definedName name="solver_vol" localSheetId="0" hidden="1">0</definedName>
    <definedName name="solver_vst" localSheetId="0" hidden="1">0</definedName>
  </definedNames>
  <calcPr calcId="162913"/>
</workbook>
</file>

<file path=xl/calcChain.xml><?xml version="1.0" encoding="utf-8"?>
<calcChain xmlns="http://schemas.openxmlformats.org/spreadsheetml/2006/main">
  <c r="D8" i="1" l="1"/>
  <c r="E8" i="1"/>
  <c r="C8" i="1"/>
  <c r="F8" i="1"/>
</calcChain>
</file>

<file path=xl/comments1.xml><?xml version="1.0" encoding="utf-8"?>
<comments xmlns="http://schemas.openxmlformats.org/spreadsheetml/2006/main">
  <authors>
    <author>A satisfied Microsoft Office user</author>
  </authors>
  <commentList>
    <comment ref="F5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F6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F7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C8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D8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E8" authorId="0" shapeId="0">
      <text>
        <r>
          <rPr>
            <sz val="8"/>
            <color indexed="81"/>
            <rFont val="Tahoma"/>
            <family val="2"/>
          </rPr>
          <t>Objective cell</t>
        </r>
      </text>
    </comment>
    <comment ref="F8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</commentList>
</comments>
</file>

<file path=xl/sharedStrings.xml><?xml version="1.0" encoding="utf-8"?>
<sst xmlns="http://schemas.openxmlformats.org/spreadsheetml/2006/main" count="11" uniqueCount="11">
  <si>
    <t>Sulfur</t>
  </si>
  <si>
    <t>Coal Dust</t>
  </si>
  <si>
    <t>Pounds of Steam</t>
  </si>
  <si>
    <t>% of Coal</t>
  </si>
  <si>
    <t>Coal</t>
  </si>
  <si>
    <t>(in ppm)</t>
  </si>
  <si>
    <t>(in kg)</t>
  </si>
  <si>
    <t>Produced per Ton</t>
  </si>
  <si>
    <t>to Mix</t>
  </si>
  <si>
    <t>Totals:</t>
  </si>
  <si>
    <t>Max.: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</si>
</sst>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7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b/>
      <sz val="10"/>
      <color indexed="17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3">
    <xf numFmtId="0" fontId="0" fillId="0" borderId="0" xfId="0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0" xfId="0" applyAlignment="1">
      <alignment horizontal="centerContinuous"/>
    </xf>
    <xf numFmtId="0" fontId="1" fillId="0" borderId="0" xfId="0" applyFont="1" applyAlignment="1">
      <alignment horizontal="centerContinuous"/>
    </xf>
    <xf numFmtId="3" fontId="1" fillId="0" borderId="0" xfId="0" applyNumberFormat="1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3" fontId="1" fillId="0" borderId="1" xfId="0" applyNumberFormat="1" applyFont="1" applyBorder="1" applyAlignment="1">
      <alignment horizontal="center"/>
    </xf>
    <xf numFmtId="3" fontId="4" fillId="2" borderId="2" xfId="0" applyNumberFormat="1" applyFont="1" applyFill="1" applyBorder="1" applyAlignment="1">
      <alignment horizontal="center"/>
    </xf>
    <xf numFmtId="164" fontId="4" fillId="2" borderId="2" xfId="0" applyNumberFormat="1" applyFont="1" applyFill="1" applyBorder="1" applyAlignment="1">
      <alignment horizontal="center"/>
    </xf>
    <xf numFmtId="3" fontId="5" fillId="2" borderId="3" xfId="0" applyNumberFormat="1" applyFont="1" applyFill="1" applyBorder="1" applyAlignment="1">
      <alignment horizontal="center"/>
    </xf>
    <xf numFmtId="10" fontId="6" fillId="2" borderId="4" xfId="1" applyNumberFormat="1" applyFont="1" applyFill="1" applyBorder="1" applyAlignment="1">
      <alignment horizontal="center"/>
    </xf>
    <xf numFmtId="10" fontId="4" fillId="2" borderId="2" xfId="1" applyNumberFormat="1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10</xdr:row>
      <xdr:rowOff>95250</xdr:rowOff>
    </xdr:from>
    <xdr:to>
      <xdr:col>3</xdr:col>
      <xdr:colOff>590550</xdr:colOff>
      <xdr:row>15</xdr:row>
      <xdr:rowOff>142875</xdr:rowOff>
    </xdr:to>
    <xdr:sp macro="" textlink="">
      <xdr:nvSpPr>
        <xdr:cNvPr id="1025" name="Note"/>
        <xdr:cNvSpPr txBox="1">
          <a:spLocks noChangeArrowheads="1"/>
        </xdr:cNvSpPr>
      </xdr:nvSpPr>
      <xdr:spPr bwMode="auto">
        <a:xfrm>
          <a:off x="742950" y="1762125"/>
          <a:ext cx="1781175" cy="857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Maximize:      E8</a:t>
          </a:r>
        </a:p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By Changing: F5:F7</a:t>
          </a:r>
        </a:p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Subject To:    C8:D8&lt;=C9:D9</a:t>
          </a:r>
        </a:p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         F8=1</a:t>
          </a:r>
        </a:p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         F5:F7&gt;=0</a:t>
          </a:r>
        </a:p>
      </xdr:txBody>
    </xdr:sp>
    <xdr:clientData/>
  </xdr:twoCellAnchor>
  <xdr:twoCellAnchor>
    <xdr:from>
      <xdr:col>1</xdr:col>
      <xdr:colOff>409575</xdr:colOff>
      <xdr:row>0</xdr:row>
      <xdr:rowOff>57150</xdr:rowOff>
    </xdr:from>
    <xdr:to>
      <xdr:col>4</xdr:col>
      <xdr:colOff>495300</xdr:colOff>
      <xdr:row>1</xdr:row>
      <xdr:rowOff>104775</xdr:rowOff>
    </xdr:to>
    <xdr:sp macro="[0]!Toggle" textlink="">
      <xdr:nvSpPr>
        <xdr:cNvPr id="1026" name="Text 2"/>
        <xdr:cNvSpPr>
          <a:spLocks noChangeArrowheads="1"/>
        </xdr:cNvSpPr>
      </xdr:nvSpPr>
      <xdr:spPr bwMode="auto">
        <a:xfrm>
          <a:off x="1019175" y="57150"/>
          <a:ext cx="2047875" cy="2095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FFFF" mc:Ignorable="a14" a14:legacySpreadsheetColorIndex="15"/>
        </a:solidFill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Virginia Tech Electric Co.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F9"/>
  <sheetViews>
    <sheetView tabSelected="1" workbookViewId="0">
      <selection activeCell="E13" sqref="E13"/>
    </sheetView>
  </sheetViews>
  <sheetFormatPr defaultRowHeight="13.2" x14ac:dyDescent="0.25"/>
  <cols>
    <col min="2" max="2" width="11.44140625" customWidth="1"/>
    <col min="3" max="3" width="8.44140625" customWidth="1"/>
    <col min="4" max="4" width="9.5546875" customWidth="1"/>
    <col min="5" max="5" width="18.109375" customWidth="1"/>
  </cols>
  <sheetData>
    <row r="1" spans="2:6" x14ac:dyDescent="0.25">
      <c r="B1" s="4"/>
      <c r="C1" s="4"/>
      <c r="D1" s="4"/>
      <c r="E1" s="4"/>
      <c r="F1" s="3"/>
    </row>
    <row r="3" spans="2:6" x14ac:dyDescent="0.25">
      <c r="B3" s="1"/>
      <c r="C3" s="1" t="s">
        <v>0</v>
      </c>
      <c r="D3" s="1" t="s">
        <v>1</v>
      </c>
      <c r="E3" s="1" t="s">
        <v>2</v>
      </c>
      <c r="F3" s="1" t="s">
        <v>3</v>
      </c>
    </row>
    <row r="4" spans="2:6" ht="13.8" thickBot="1" x14ac:dyDescent="0.3">
      <c r="B4" s="2" t="s">
        <v>4</v>
      </c>
      <c r="C4" s="2" t="s">
        <v>5</v>
      </c>
      <c r="D4" s="2" t="s">
        <v>6</v>
      </c>
      <c r="E4" s="2" t="s">
        <v>7</v>
      </c>
      <c r="F4" s="2" t="s">
        <v>8</v>
      </c>
    </row>
    <row r="5" spans="2:6" x14ac:dyDescent="0.25">
      <c r="B5" s="1">
        <v>1</v>
      </c>
      <c r="C5" s="6">
        <v>1100</v>
      </c>
      <c r="D5" s="1">
        <v>1.7</v>
      </c>
      <c r="E5" s="6">
        <v>24000</v>
      </c>
      <c r="F5" s="11">
        <v>5.7971014492753624E-2</v>
      </c>
    </row>
    <row r="6" spans="2:6" x14ac:dyDescent="0.25">
      <c r="B6" s="1">
        <v>2</v>
      </c>
      <c r="C6" s="6">
        <v>3500</v>
      </c>
      <c r="D6" s="1">
        <v>3.2</v>
      </c>
      <c r="E6" s="6">
        <v>36000</v>
      </c>
      <c r="F6" s="11">
        <v>0.55072463768115942</v>
      </c>
    </row>
    <row r="7" spans="2:6" ht="13.8" thickBot="1" x14ac:dyDescent="0.3">
      <c r="B7" s="2">
        <v>3</v>
      </c>
      <c r="C7" s="7">
        <v>1300</v>
      </c>
      <c r="D7" s="2">
        <v>2.4</v>
      </c>
      <c r="E7" s="7">
        <v>28000</v>
      </c>
      <c r="F7" s="11">
        <v>0.39130434782608697</v>
      </c>
    </row>
    <row r="8" spans="2:6" ht="14.4" thickTop="1" thickBot="1" x14ac:dyDescent="0.3">
      <c r="B8" s="1" t="s">
        <v>9</v>
      </c>
      <c r="C8" s="8">
        <f>SUMPRODUCT($F$5:$F$7,C5:C7)</f>
        <v>2500</v>
      </c>
      <c r="D8" s="9">
        <f>SUMPRODUCT($F$5:$F$7,D5:D7)</f>
        <v>2.8000000000000003</v>
      </c>
      <c r="E8" s="10">
        <f>SUMPRODUCT($F$5:$F$7,E5:E7)</f>
        <v>32173.913043478264</v>
      </c>
      <c r="F8" s="12">
        <f>SUM(F5:F7)</f>
        <v>1</v>
      </c>
    </row>
    <row r="9" spans="2:6" ht="13.8" thickTop="1" x14ac:dyDescent="0.25">
      <c r="B9" s="4" t="s">
        <v>10</v>
      </c>
      <c r="C9" s="5">
        <v>2500</v>
      </c>
      <c r="D9" s="1">
        <v>2.8</v>
      </c>
    </row>
  </sheetData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Coal Blending 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Ragsdale</dc:creator>
  <cp:lastModifiedBy>Poh Lim</cp:lastModifiedBy>
  <dcterms:created xsi:type="dcterms:W3CDTF">2010-09-09T01:02:22Z</dcterms:created>
  <dcterms:modified xsi:type="dcterms:W3CDTF">2018-08-05T13:12:20Z</dcterms:modified>
</cp:coreProperties>
</file>