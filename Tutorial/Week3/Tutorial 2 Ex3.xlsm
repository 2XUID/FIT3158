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ad.monash.edu\home\User081\phlee\Documents\2018\FIT3158\Tutorial\Week 3\Solution\"/>
    </mc:Choice>
  </mc:AlternateContent>
  <bookViews>
    <workbookView xWindow="120" yWindow="96" windowWidth="9372" windowHeight="4968"/>
  </bookViews>
  <sheets>
    <sheet name="Sales Plan" sheetId="1" r:id="rId1"/>
    <sheet name="SMDA" sheetId="2" state="veryHidden" r:id=""/>
  </sheets>
  <definedNames>
    <definedName name="grb_async_callbacks" localSheetId="0" hidden="1">1</definedName>
    <definedName name="grb_bariter" localSheetId="0" hidden="1">1E+100</definedName>
    <definedName name="grb_bartol" localSheetId="0" hidden="1">0.00000001</definedName>
    <definedName name="grb_crossover" localSheetId="0" hidden="1">-1</definedName>
    <definedName name="grb_cutoff" localSheetId="0" hidden="1">1E+100</definedName>
    <definedName name="grb_cuts" localSheetId="0" hidden="1">-1</definedName>
    <definedName name="grb_focus" localSheetId="0" hidden="1">0</definedName>
    <definedName name="grb_heur" localSheetId="0" hidden="1">0.05</definedName>
    <definedName name="grb_infeas" localSheetId="0" hidden="1">0.000001</definedName>
    <definedName name="grb_inttol" localSheetId="0" hidden="1">0.00001</definedName>
    <definedName name="grb_method" localSheetId="0" hidden="1">1</definedName>
    <definedName name="grb_nodefilestart" localSheetId="0" hidden="1">1E+100</definedName>
    <definedName name="grb_optimal" localSheetId="0" hidden="1">0.000001</definedName>
    <definedName name="grb_order" localSheetId="0" hidden="1">-1</definedName>
    <definedName name="grb_presolve" localSheetId="0" hidden="1">-1</definedName>
    <definedName name="grb_pricing" localSheetId="0" hidden="1">-1</definedName>
    <definedName name="grb_relmip" localSheetId="0" hidden="1">0.0001</definedName>
    <definedName name="grb_rootmethod" localSheetId="0" hidden="1">1</definedName>
    <definedName name="grb_submip" localSheetId="0" hidden="1">500</definedName>
    <definedName name="grb_symmetry" localSheetId="0" hidden="1">-1</definedName>
    <definedName name="grb_threads" localSheetId="0" hidden="1">0</definedName>
    <definedName name="grb_var" localSheetId="0" hidden="1">-1</definedName>
    <definedName name="solver_adj" localSheetId="0" hidden="1">'Sales Plan'!$C$19:$F$20</definedName>
    <definedName name="solver_adj_ob" localSheetId="0" hidden="1">1</definedName>
    <definedName name="solver_cha" localSheetId="0" hidden="1">0</definedName>
    <definedName name="solver_chc1" localSheetId="0" hidden="1">0</definedName>
    <definedName name="solver_chc2" localSheetId="0" hidden="1">0</definedName>
    <definedName name="solver_chc3" localSheetId="0" hidden="1">0</definedName>
    <definedName name="solver_chn" localSheetId="0" hidden="1">4</definedName>
    <definedName name="solver_chp1" localSheetId="0" hidden="1">0</definedName>
    <definedName name="solver_chp2" localSheetId="0" hidden="1">0</definedName>
    <definedName name="solver_chp3" localSheetId="0" hidden="1">0</definedName>
    <definedName name="solver_cht" localSheetId="0" hidden="1">0</definedName>
    <definedName name="solver_cir1" localSheetId="0" hidden="1">1</definedName>
    <definedName name="solver_cir2" localSheetId="0" hidden="1">1</definedName>
    <definedName name="solver_cir3" localSheetId="0" hidden="1">1</definedName>
    <definedName name="solver_con" localSheetId="0" hidden="1">" "</definedName>
    <definedName name="solver_con1" localSheetId="0" hidden="1">" "</definedName>
    <definedName name="solver_con2" localSheetId="0" hidden="1">" "</definedName>
    <definedName name="solver_con3" localSheetId="0" hidden="1">" "</definedName>
    <definedName name="solver_cvg" localSheetId="0" hidden="1">0.0001</definedName>
    <definedName name="solver_dia" localSheetId="0" hidden="1">5</definedName>
    <definedName name="solver_drv" localSheetId="0" hidden="1">1</definedName>
    <definedName name="solver_eng" localSheetId="0" hidden="1">0</definedName>
    <definedName name="solver_est" localSheetId="0" hidden="1">1</definedName>
    <definedName name="solver_iao" localSheetId="0" hidden="1">0</definedName>
    <definedName name="solver_ibd" localSheetId="0" hidden="1">2</definedName>
    <definedName name="solver_int" localSheetId="0" hidden="1">0</definedName>
    <definedName name="solver_irs" localSheetId="0" hidden="1">0</definedName>
    <definedName name="solver_ism" localSheetId="0" hidden="1">0</definedName>
    <definedName name="solver_itr" localSheetId="0" hidden="1">100</definedName>
    <definedName name="solver_lhs_ob1" localSheetId="0" hidden="1">0</definedName>
    <definedName name="solver_lhs_ob2" localSheetId="0" hidden="1">0</definedName>
    <definedName name="solver_lhs_ob3" localSheetId="0" hidden="1">0</definedName>
    <definedName name="solver_lhs1" localSheetId="0" hidden="1">'Sales Plan'!$C$19:$F$20</definedName>
    <definedName name="solver_lhs2" localSheetId="0" hidden="1">'Sales Plan'!$C$21:$F$21</definedName>
    <definedName name="solver_lhs3" localSheetId="0" hidden="1">'Sales Plan'!$G$19:$G$20</definedName>
    <definedName name="solver_lin" localSheetId="0" hidden="1">2</definedName>
    <definedName name="solver_loc" localSheetId="0" hidden="1">1</definedName>
    <definedName name="solver_lva" localSheetId="0" hidden="1">2</definedName>
    <definedName name="solver_mda" localSheetId="0" hidden="1">4</definedName>
    <definedName name="solver_mip" localSheetId="0" hidden="1">5000</definedName>
    <definedName name="solver_mni" localSheetId="0" hidden="1">30</definedName>
    <definedName name="solver_mod" localSheetId="0" hidden="1">3</definedName>
    <definedName name="solver_mrt" localSheetId="0" hidden="1">0.075</definedName>
    <definedName name="solver_neg" localSheetId="0" hidden="1">2</definedName>
    <definedName name="solver_nod" localSheetId="0" hidden="1">5000</definedName>
    <definedName name="solver_ntr" localSheetId="0" hidden="1">0</definedName>
    <definedName name="solver_ntri" hidden="1">1000</definedName>
    <definedName name="solver_num" localSheetId="0" hidden="1">3</definedName>
    <definedName name="solver_nwt" localSheetId="0" hidden="1">1</definedName>
    <definedName name="solver_obc" localSheetId="0" hidden="1">0</definedName>
    <definedName name="solver_obp" localSheetId="0" hidden="1">0</definedName>
    <definedName name="solver_ofx" localSheetId="0" hidden="1">2</definedName>
    <definedName name="solver_opt" localSheetId="0" hidden="1">'Sales Plan'!$H$14</definedName>
    <definedName name="solver_opt_ob" localSheetId="0" hidden="1">1</definedName>
    <definedName name="solver_piv" localSheetId="0" hidden="1">0.000001</definedName>
    <definedName name="solver_pre" localSheetId="0" hidden="1">0.000001</definedName>
    <definedName name="solver_pro" localSheetId="0" hidden="1">2</definedName>
    <definedName name="solver_psi" localSheetId="0" hidden="1">0</definedName>
    <definedName name="solver_rbv" localSheetId="0" hidden="1">1</definedName>
    <definedName name="solver_rdp" localSheetId="0" hidden="1">0</definedName>
    <definedName name="solver_red" localSheetId="0" hidden="1">0.000001</definedName>
    <definedName name="solver_rel1" localSheetId="0" hidden="1">3</definedName>
    <definedName name="solver_rel2" localSheetId="0" hidden="1">1</definedName>
    <definedName name="solver_rel3" localSheetId="0" hidden="1">1</definedName>
    <definedName name="solver_reo" localSheetId="0" hidden="1">2</definedName>
    <definedName name="solver_rep" localSheetId="0" hidden="1">2</definedName>
    <definedName name="solver_rhs1" localSheetId="0" hidden="1">0</definedName>
    <definedName name="solver_rhs2" localSheetId="0" hidden="1">'Sales Plan'!$C$22:$F$22</definedName>
    <definedName name="solver_rhs3" localSheetId="0" hidden="1">'Sales Plan'!$H$19:$H$20</definedName>
    <definedName name="solver_rlx" localSheetId="0" hidden="1">0</definedName>
    <definedName name="solver_rsmp" hidden="1">2</definedName>
    <definedName name="solver_rtr" localSheetId="0" hidden="1">0</definedName>
    <definedName name="solver_rxc1" localSheetId="0" hidden="1">1</definedName>
    <definedName name="solver_rxc2" localSheetId="0" hidden="1">1</definedName>
    <definedName name="solver_rxc3" localSheetId="0" hidden="1">1</definedName>
    <definedName name="solver_rxv" localSheetId="0" hidden="1">1</definedName>
    <definedName name="solver_scl" localSheetId="0" hidden="1">2</definedName>
    <definedName name="solver_seed" hidden="1">0</definedName>
    <definedName name="solver_sel" localSheetId="0" hidden="1">1</definedName>
    <definedName name="solver_sho" localSheetId="0" hidden="1">2</definedName>
    <definedName name="solver_slv" localSheetId="0" hidden="1">0</definedName>
    <definedName name="solver_slvu" localSheetId="0" hidden="1">0</definedName>
    <definedName name="solver_ssz" localSheetId="0" hidden="1">100</definedName>
    <definedName name="solver_std" localSheetId="0" hidden="1">0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umod" localSheetId="0" hidden="1">1</definedName>
    <definedName name="solver_urs" localSheetId="0" hidden="1">0</definedName>
    <definedName name="solver_val" localSheetId="0" hidden="1">0</definedName>
    <definedName name="solver_var" localSheetId="0" hidden="1">" "</definedName>
    <definedName name="solver_ver" localSheetId="0" hidden="1">11</definedName>
    <definedName name="solver_vir" localSheetId="0" hidden="1">1</definedName>
    <definedName name="solver_vol" localSheetId="0" hidden="1">0</definedName>
    <definedName name="solver_vst" localSheetId="0" hidden="1">0</definedName>
  </definedNames>
  <calcPr calcId="162913"/>
</workbook>
</file>

<file path=xl/calcChain.xml><?xml version="1.0" encoding="utf-8"?>
<calcChain xmlns="http://schemas.openxmlformats.org/spreadsheetml/2006/main">
  <c r="F14" i="1" l="1"/>
  <c r="C14" i="1"/>
  <c r="C13" i="1"/>
  <c r="D13" i="1" l="1"/>
  <c r="E13" i="1"/>
  <c r="F13" i="1"/>
  <c r="D14" i="1"/>
  <c r="E14" i="1"/>
  <c r="H14" i="1"/>
  <c r="G20" i="1"/>
  <c r="G19" i="1"/>
  <c r="D21" i="1"/>
  <c r="E21" i="1"/>
  <c r="F21" i="1"/>
  <c r="C21" i="1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H14" authorId="0" shapeId="0">
      <text>
        <r>
          <rPr>
            <sz val="8"/>
            <color indexed="81"/>
            <rFont val="Tahoma"/>
            <family val="2"/>
          </rPr>
          <t>Objective cell</t>
        </r>
      </text>
    </comment>
    <comment ref="C1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1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1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1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G1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C2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2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2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2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G2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C2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2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2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F2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sharedStrings.xml><?xml version="1.0" encoding="utf-8"?>
<sst xmlns="http://schemas.openxmlformats.org/spreadsheetml/2006/main" count="17" uniqueCount="13">
  <si>
    <t>Shipping Costs per Bottle</t>
  </si>
  <si>
    <t>Restaurant</t>
  </si>
  <si>
    <t>Production</t>
  </si>
  <si>
    <t>Vineyard</t>
  </si>
  <si>
    <t>Cost</t>
  </si>
  <si>
    <t>Price per Bottle</t>
  </si>
  <si>
    <t>Profit per Bottle</t>
  </si>
  <si>
    <t>Total Profit</t>
  </si>
  <si>
    <t>Bottles to Sell</t>
  </si>
  <si>
    <t>Produce</t>
  </si>
  <si>
    <t>Capacity</t>
  </si>
  <si>
    <t>Received</t>
  </si>
  <si>
    <t>Demand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</si>
</sst>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_);[Red]\(&quot;$&quot;#,##0\)"/>
  </numFmts>
  <fonts count="7" x14ac:knownFonts="1">
    <font>
      <sz val="10"/>
      <name val="Arial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10"/>
      <color indexed="12"/>
      <name val="Arial"/>
      <family val="2"/>
    </font>
    <font>
      <b/>
      <sz val="10"/>
      <color indexed="17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Fill="1"/>
    <xf numFmtId="0" fontId="1" fillId="0" borderId="0" xfId="0" applyFon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Continuous"/>
    </xf>
    <xf numFmtId="0" fontId="0" fillId="0" borderId="0" xfId="0" applyFill="1" applyBorder="1"/>
    <xf numFmtId="0" fontId="1" fillId="0" borderId="0" xfId="0" applyFont="1" applyFill="1" applyBorder="1" applyAlignment="1">
      <alignment horizontal="centerContinuous"/>
    </xf>
    <xf numFmtId="0" fontId="1" fillId="0" borderId="0" xfId="0" applyFont="1" applyFill="1" applyBorder="1" applyAlignment="1">
      <alignment horizontal="center"/>
    </xf>
    <xf numFmtId="3" fontId="1" fillId="0" borderId="0" xfId="0" applyNumberFormat="1" applyFont="1" applyFill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164" fontId="1" fillId="0" borderId="0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Continuous"/>
    </xf>
    <xf numFmtId="3" fontId="1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164" fontId="3" fillId="2" borderId="2" xfId="0" applyNumberFormat="1" applyFont="1" applyFill="1" applyBorder="1" applyAlignment="1">
      <alignment horizontal="center"/>
    </xf>
    <xf numFmtId="3" fontId="4" fillId="2" borderId="3" xfId="0" applyNumberFormat="1" applyFont="1" applyFill="1" applyBorder="1" applyAlignment="1">
      <alignment horizontal="center"/>
    </xf>
    <xf numFmtId="3" fontId="4" fillId="2" borderId="4" xfId="0" applyNumberFormat="1" applyFont="1" applyFill="1" applyBorder="1" applyAlignment="1">
      <alignment horizontal="center"/>
    </xf>
    <xf numFmtId="3" fontId="5" fillId="2" borderId="5" xfId="0" applyNumberFormat="1" applyFont="1" applyFill="1" applyBorder="1" applyAlignment="1">
      <alignment horizontal="center"/>
    </xf>
    <xf numFmtId="3" fontId="5" fillId="2" borderId="6" xfId="0" applyNumberFormat="1" applyFont="1" applyFill="1" applyBorder="1" applyAlignment="1">
      <alignment horizontal="center"/>
    </xf>
    <xf numFmtId="3" fontId="5" fillId="2" borderId="7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400050</xdr:colOff>
      <xdr:row>1</xdr:row>
      <xdr:rowOff>104775</xdr:rowOff>
    </xdr:to>
    <xdr:sp macro="[0]!Toggle" textlink="">
      <xdr:nvSpPr>
        <xdr:cNvPr id="1026" name="Text 2"/>
        <xdr:cNvSpPr>
          <a:spLocks noChangeArrowheads="1"/>
        </xdr:cNvSpPr>
      </xdr:nvSpPr>
      <xdr:spPr bwMode="auto">
        <a:xfrm>
          <a:off x="1933575" y="57150"/>
          <a:ext cx="2057400" cy="2095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Winery</a:t>
          </a:r>
        </a:p>
      </xdr:txBody>
    </xdr:sp>
    <xdr:clientData/>
  </xdr:twoCellAnchor>
  <xdr:twoCellAnchor>
    <xdr:from>
      <xdr:col>1</xdr:col>
      <xdr:colOff>133350</xdr:colOff>
      <xdr:row>22</xdr:row>
      <xdr:rowOff>133350</xdr:rowOff>
    </xdr:from>
    <xdr:to>
      <xdr:col>4</xdr:col>
      <xdr:colOff>247650</xdr:colOff>
      <xdr:row>29</xdr:row>
      <xdr:rowOff>76200</xdr:rowOff>
    </xdr:to>
    <xdr:sp macro="" textlink="">
      <xdr:nvSpPr>
        <xdr:cNvPr id="1027" name="Note"/>
        <xdr:cNvSpPr txBox="1">
          <a:spLocks noChangeArrowheads="1"/>
        </xdr:cNvSpPr>
      </xdr:nvSpPr>
      <xdr:spPr bwMode="auto">
        <a:xfrm>
          <a:off x="447675" y="3771900"/>
          <a:ext cx="2771775" cy="1076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Maximize:    H14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By Changing: C19:F20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Subject to:  G19:G20&lt;=H19:H20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C21:F21&lt;=C22:F22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C19:F20&gt;=0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(Alternate optima exist!)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H25"/>
  <sheetViews>
    <sheetView tabSelected="1" workbookViewId="0">
      <selection activeCell="C21" sqref="C21"/>
    </sheetView>
  </sheetViews>
  <sheetFormatPr defaultRowHeight="13.2" x14ac:dyDescent="0.25"/>
  <cols>
    <col min="1" max="1" width="4.6640625" customWidth="1"/>
    <col min="2" max="2" width="21.33203125" style="18" customWidth="1"/>
    <col min="3" max="6" width="9.33203125" customWidth="1"/>
    <col min="7" max="7" width="11.6640625" customWidth="1"/>
    <col min="8" max="8" width="12.44140625" customWidth="1"/>
    <col min="9" max="9" width="10" customWidth="1"/>
  </cols>
  <sheetData>
    <row r="3" spans="2:8" x14ac:dyDescent="0.25">
      <c r="D3" s="1" t="s">
        <v>0</v>
      </c>
      <c r="E3" s="1"/>
    </row>
    <row r="4" spans="2:8" x14ac:dyDescent="0.25">
      <c r="B4" s="19"/>
      <c r="C4" s="7" t="s">
        <v>1</v>
      </c>
      <c r="D4" s="7"/>
      <c r="E4" s="7"/>
      <c r="F4" s="7"/>
      <c r="G4" s="3" t="s">
        <v>2</v>
      </c>
    </row>
    <row r="5" spans="2:8" ht="13.8" thickBot="1" x14ac:dyDescent="0.3">
      <c r="B5" s="5" t="s">
        <v>3</v>
      </c>
      <c r="C5" s="5">
        <v>1</v>
      </c>
      <c r="D5" s="5">
        <v>2</v>
      </c>
      <c r="E5" s="5">
        <v>3</v>
      </c>
      <c r="F5" s="5">
        <v>4</v>
      </c>
      <c r="G5" s="5" t="s">
        <v>4</v>
      </c>
    </row>
    <row r="6" spans="2:8" x14ac:dyDescent="0.25">
      <c r="B6" s="3">
        <v>1</v>
      </c>
      <c r="C6" s="13">
        <v>7</v>
      </c>
      <c r="D6" s="13">
        <v>8</v>
      </c>
      <c r="E6" s="13">
        <v>13</v>
      </c>
      <c r="F6" s="13">
        <v>9</v>
      </c>
      <c r="G6" s="13">
        <v>23</v>
      </c>
    </row>
    <row r="7" spans="2:8" ht="13.8" thickBot="1" x14ac:dyDescent="0.3">
      <c r="B7" s="5">
        <v>2</v>
      </c>
      <c r="C7" s="15">
        <v>12</v>
      </c>
      <c r="D7" s="15">
        <v>6</v>
      </c>
      <c r="E7" s="15">
        <v>8</v>
      </c>
      <c r="F7" s="15">
        <v>7</v>
      </c>
      <c r="G7" s="15">
        <v>25</v>
      </c>
    </row>
    <row r="8" spans="2:8" x14ac:dyDescent="0.25">
      <c r="B8" s="10" t="s">
        <v>5</v>
      </c>
      <c r="C8" s="13">
        <v>69</v>
      </c>
      <c r="D8" s="13">
        <v>67</v>
      </c>
      <c r="E8" s="13">
        <v>70</v>
      </c>
      <c r="F8" s="13">
        <v>66</v>
      </c>
      <c r="G8" s="6"/>
    </row>
    <row r="9" spans="2:8" ht="12" customHeight="1" x14ac:dyDescent="0.25">
      <c r="B9" s="20"/>
      <c r="H9" s="8"/>
    </row>
    <row r="10" spans="2:8" x14ac:dyDescent="0.25">
      <c r="B10" s="20"/>
      <c r="C10" s="8"/>
      <c r="D10" s="9" t="s">
        <v>6</v>
      </c>
      <c r="E10" s="9"/>
      <c r="F10" s="8"/>
      <c r="H10" s="8"/>
    </row>
    <row r="11" spans="2:8" x14ac:dyDescent="0.25">
      <c r="B11" s="20"/>
      <c r="C11" s="9" t="s">
        <v>1</v>
      </c>
      <c r="D11" s="9"/>
      <c r="E11" s="9"/>
      <c r="F11" s="9"/>
      <c r="H11" s="8"/>
    </row>
    <row r="12" spans="2:8" ht="13.8" thickBot="1" x14ac:dyDescent="0.3">
      <c r="B12" s="5" t="s">
        <v>3</v>
      </c>
      <c r="C12" s="14">
        <v>1</v>
      </c>
      <c r="D12" s="14">
        <v>2</v>
      </c>
      <c r="E12" s="14">
        <v>3</v>
      </c>
      <c r="F12" s="14">
        <v>4</v>
      </c>
      <c r="H12" s="8"/>
    </row>
    <row r="13" spans="2:8" ht="13.8" thickBot="1" x14ac:dyDescent="0.3">
      <c r="B13" s="3">
        <v>1</v>
      </c>
      <c r="C13" s="4">
        <f>C$8-$G6-C6</f>
        <v>39</v>
      </c>
      <c r="D13" s="4">
        <f t="shared" ref="D13:F14" si="0">D$8-$G6-D6</f>
        <v>36</v>
      </c>
      <c r="E13" s="4">
        <f t="shared" si="0"/>
        <v>34</v>
      </c>
      <c r="F13" s="4">
        <f t="shared" si="0"/>
        <v>34</v>
      </c>
      <c r="H13" s="8"/>
    </row>
    <row r="14" spans="2:8" ht="14.4" thickTop="1" thickBot="1" x14ac:dyDescent="0.3">
      <c r="B14" s="5">
        <v>2</v>
      </c>
      <c r="C14" s="12">
        <f>C$8-$G7-C7</f>
        <v>32</v>
      </c>
      <c r="D14" s="12">
        <f t="shared" si="0"/>
        <v>36</v>
      </c>
      <c r="E14" s="12">
        <f t="shared" si="0"/>
        <v>37</v>
      </c>
      <c r="F14" s="12">
        <f>F$8-$G7-F7</f>
        <v>34</v>
      </c>
      <c r="G14" s="10" t="s">
        <v>7</v>
      </c>
      <c r="H14" s="22">
        <f>SUMPRODUCT(C13:F14,C19:F20)</f>
        <v>241750</v>
      </c>
    </row>
    <row r="15" spans="2:8" ht="13.8" thickTop="1" x14ac:dyDescent="0.25">
      <c r="B15" s="4"/>
      <c r="C15" s="4"/>
      <c r="D15" s="4"/>
      <c r="E15" s="4"/>
      <c r="F15" s="4"/>
      <c r="G15" s="8"/>
    </row>
    <row r="16" spans="2:8" x14ac:dyDescent="0.25">
      <c r="B16" s="20"/>
      <c r="C16" s="9" t="s">
        <v>8</v>
      </c>
      <c r="D16" s="9"/>
      <c r="E16" s="9"/>
      <c r="F16" s="9"/>
      <c r="G16" s="8"/>
    </row>
    <row r="17" spans="2:8" x14ac:dyDescent="0.25">
      <c r="B17" s="20"/>
      <c r="C17" s="9" t="s">
        <v>1</v>
      </c>
      <c r="D17" s="16"/>
      <c r="E17" s="16"/>
      <c r="F17" s="16"/>
      <c r="G17" s="8"/>
    </row>
    <row r="18" spans="2:8" ht="13.8" thickBot="1" x14ac:dyDescent="0.3">
      <c r="B18" s="5" t="s">
        <v>3</v>
      </c>
      <c r="C18" s="14">
        <v>1</v>
      </c>
      <c r="D18" s="14">
        <v>2</v>
      </c>
      <c r="E18" s="14">
        <v>3</v>
      </c>
      <c r="F18" s="14">
        <v>4</v>
      </c>
      <c r="G18" s="17" t="s">
        <v>9</v>
      </c>
      <c r="H18" s="5" t="s">
        <v>10</v>
      </c>
    </row>
    <row r="19" spans="2:8" x14ac:dyDescent="0.25">
      <c r="B19" s="3">
        <v>1</v>
      </c>
      <c r="C19" s="23">
        <v>1800</v>
      </c>
      <c r="D19" s="23">
        <v>450</v>
      </c>
      <c r="E19" s="23">
        <v>0</v>
      </c>
      <c r="F19" s="23">
        <v>1250</v>
      </c>
      <c r="G19" s="25">
        <f>SUM(C19:F19)</f>
        <v>3500</v>
      </c>
      <c r="H19" s="11">
        <v>3500</v>
      </c>
    </row>
    <row r="20" spans="2:8" ht="13.8" thickBot="1" x14ac:dyDescent="0.3">
      <c r="B20" s="5">
        <v>2</v>
      </c>
      <c r="C20" s="24">
        <v>0</v>
      </c>
      <c r="D20" s="24">
        <v>1850</v>
      </c>
      <c r="E20" s="24">
        <v>1250</v>
      </c>
      <c r="F20" s="24">
        <v>0</v>
      </c>
      <c r="G20" s="26">
        <f>SUM(C20:F20)</f>
        <v>3100</v>
      </c>
      <c r="H20" s="17">
        <v>3100</v>
      </c>
    </row>
    <row r="21" spans="2:8" x14ac:dyDescent="0.25">
      <c r="B21" s="11" t="s">
        <v>11</v>
      </c>
      <c r="C21" s="27">
        <f>SUM(C19:C20)</f>
        <v>1800</v>
      </c>
      <c r="D21" s="27">
        <f>SUM(D19:D20)</f>
        <v>2300</v>
      </c>
      <c r="E21" s="27">
        <f>SUM(E19:E20)</f>
        <v>1250</v>
      </c>
      <c r="F21" s="27">
        <f>SUM(F19:F20)</f>
        <v>1250</v>
      </c>
      <c r="G21" s="8"/>
    </row>
    <row r="22" spans="2:8" x14ac:dyDescent="0.25">
      <c r="B22" s="10" t="s">
        <v>12</v>
      </c>
      <c r="C22" s="11">
        <v>1800</v>
      </c>
      <c r="D22" s="11">
        <v>2300</v>
      </c>
      <c r="E22" s="11">
        <v>1250</v>
      </c>
      <c r="F22" s="11">
        <v>1750</v>
      </c>
      <c r="G22" s="8"/>
    </row>
    <row r="23" spans="2:8" x14ac:dyDescent="0.25">
      <c r="B23" s="20"/>
      <c r="C23" s="8"/>
      <c r="D23" s="8"/>
      <c r="E23" s="8"/>
      <c r="F23" s="8"/>
      <c r="G23" s="8"/>
    </row>
    <row r="24" spans="2:8" x14ac:dyDescent="0.25">
      <c r="B24" s="20"/>
      <c r="C24" s="8"/>
      <c r="D24" s="8"/>
      <c r="E24" s="8"/>
      <c r="F24" s="8"/>
      <c r="G24" s="8"/>
    </row>
    <row r="25" spans="2:8" x14ac:dyDescent="0.25">
      <c r="B25" s="21"/>
      <c r="C25" s="2"/>
      <c r="D25" s="2"/>
      <c r="E25" s="2"/>
      <c r="F25" s="2"/>
      <c r="G25" s="2"/>
    </row>
  </sheetData>
  <phoneticPr fontId="6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 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Ragsdale</dc:creator>
  <cp:lastModifiedBy>Poh Lim</cp:lastModifiedBy>
  <dcterms:created xsi:type="dcterms:W3CDTF">2010-09-09T01:11:19Z</dcterms:created>
  <dcterms:modified xsi:type="dcterms:W3CDTF">2018-08-05T13:58:41Z</dcterms:modified>
</cp:coreProperties>
</file>