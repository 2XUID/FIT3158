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Tutorial\Week 6\"/>
    </mc:Choice>
  </mc:AlternateContent>
  <bookViews>
    <workbookView xWindow="360" yWindow="108" windowWidth="11232" windowHeight="6696" tabRatio="702" firstSheet="1" activeTab="1"/>
  </bookViews>
  <sheets>
    <sheet name="Module1" sheetId="1" state="veryHidden" r:id=""/>
    <sheet name="Security Alarm (Shortest Route)" sheetId="2" r:id="rId1"/>
    <sheet name="Liliput (Max Flow)" sheetId="7" r:id="rId2"/>
    <sheet name="Extra Ex" sheetId="8" r:id="rId3"/>
  </sheets>
  <definedNames>
    <definedName name="solver_adj" localSheetId="1" hidden="1">'Security Alarm (Shortest Route)'!$B$7:$B$24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bd" localSheetId="1" hidden="1">2</definedName>
    <definedName name="solver_itr" localSheetId="1" hidden="1">1000</definedName>
    <definedName name="solver_lhs1" localSheetId="1" hidden="1">'Security Alarm (Shortest Route)'!$L$7:$L$16</definedName>
    <definedName name="solver_lhs2" localSheetId="1" hidden="1">'Security Alarm (Shortest Route)'!$B$7:$B$24</definedName>
    <definedName name="solver_lhs3" localSheetId="1" hidden="1">'Security Alarm (Shortest Route)'!$L$7:$L$16</definedName>
    <definedName name="solver_lin" localSheetId="1" hidden="1">1</definedName>
    <definedName name="solver_lva" localSheetId="1" hidden="1">2</definedName>
    <definedName name="solver_mip" localSheetId="1" hidden="1">1000</definedName>
    <definedName name="solver_mni" localSheetId="1" hidden="1">30</definedName>
    <definedName name="solver_mrt" localSheetId="1" hidden="1">0.075</definedName>
    <definedName name="solver_neg" localSheetId="1" hidden="1">2</definedName>
    <definedName name="solver_nod" localSheetId="1" hidden="1">1000</definedName>
    <definedName name="solver_num" localSheetId="1" hidden="1">2</definedName>
    <definedName name="solver_nwt" localSheetId="1" hidden="1">1</definedName>
    <definedName name="solver_ofx" localSheetId="1" hidden="1">2</definedName>
    <definedName name="solver_opt" localSheetId="1" hidden="1">'Security Alarm (Shortest Route)'!$G$26</definedName>
    <definedName name="solver_piv" localSheetId="1" hidden="1">0.000001</definedName>
    <definedName name="solver_pre" localSheetId="1" hidden="1">0.00000001</definedName>
    <definedName name="solver_pro" localSheetId="1" hidden="1">2</definedName>
    <definedName name="solver_rbv" localSheetId="1" hidden="1">1</definedName>
    <definedName name="solver_red" localSheetId="1" hidden="1">0.000001</definedName>
    <definedName name="solver_rel1" localSheetId="1" hidden="1">2</definedName>
    <definedName name="solver_rel2" localSheetId="1" hidden="1">3</definedName>
    <definedName name="solver_rel3" localSheetId="1" hidden="1">2</definedName>
    <definedName name="solver_reo" localSheetId="1" hidden="1">2</definedName>
    <definedName name="solver_rep" localSheetId="1" hidden="1">2</definedName>
    <definedName name="solver_rhs1" localSheetId="1" hidden="1">'Security Alarm (Shortest Route)'!$M$7:$M$16</definedName>
    <definedName name="solver_rhs2" localSheetId="1" hidden="1">0</definedName>
    <definedName name="solver_rhs3" localSheetId="1" hidden="1">'Security Alarm (Shortest Route)'!$M$7:$M$16</definedName>
    <definedName name="solver_rlx" localSheetId="1" hidden="1">2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std" localSheetId="1" hidden="1">0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solver_ver" localSheetId="1" hidden="1">2</definedName>
  </definedNames>
  <calcPr calcId="162913"/>
</workbook>
</file>

<file path=xl/calcChain.xml><?xml version="1.0" encoding="utf-8"?>
<calcChain xmlns="http://schemas.openxmlformats.org/spreadsheetml/2006/main">
  <c r="C7" i="8" l="1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6" i="8"/>
  <c r="C6" i="8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F7" i="7"/>
  <c r="D7" i="7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7" i="2"/>
  <c r="H24" i="8" l="1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K7" i="7"/>
  <c r="K8" i="7"/>
  <c r="K9" i="7"/>
  <c r="K10" i="7"/>
  <c r="K11" i="7"/>
  <c r="K12" i="7"/>
  <c r="K13" i="7"/>
  <c r="K14" i="7"/>
  <c r="K15" i="7"/>
  <c r="K16" i="7"/>
  <c r="K17" i="7"/>
  <c r="K18" i="7"/>
  <c r="B30" i="7"/>
  <c r="G26" i="2"/>
  <c r="L16" i="2"/>
  <c r="L15" i="2"/>
  <c r="L14" i="2"/>
  <c r="L13" i="2"/>
  <c r="L12" i="2"/>
  <c r="L11" i="2"/>
  <c r="L10" i="2"/>
  <c r="L9" i="2"/>
  <c r="L8" i="2"/>
  <c r="L7" i="2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B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4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5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2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2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2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2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2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26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</authors>
  <commentList>
    <comment ref="B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K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2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30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3.xml><?xml version="1.0" encoding="utf-8"?>
<comments xmlns="http://schemas.openxmlformats.org/spreadsheetml/2006/main">
  <authors>
    <author>A satisfied Microsoft Office user</author>
  </authors>
  <commentList>
    <comment ref="A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A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A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A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4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5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2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H24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sharedStrings.xml><?xml version="1.0" encoding="utf-8"?>
<sst xmlns="http://schemas.openxmlformats.org/spreadsheetml/2006/main" count="68" uniqueCount="51">
  <si>
    <t>Select</t>
  </si>
  <si>
    <t>Route?</t>
  </si>
  <si>
    <t xml:space="preserve">  From</t>
  </si>
  <si>
    <t xml:space="preserve">  To</t>
  </si>
  <si>
    <t xml:space="preserve">  Nodes</t>
  </si>
  <si>
    <t>Net Flow</t>
  </si>
  <si>
    <t>Supply/Demand</t>
  </si>
  <si>
    <t xml:space="preserve">Total </t>
  </si>
  <si>
    <t>A</t>
  </si>
  <si>
    <t>B</t>
  </si>
  <si>
    <t>C</t>
  </si>
  <si>
    <t>D</t>
  </si>
  <si>
    <t>E</t>
  </si>
  <si>
    <t>F</t>
  </si>
  <si>
    <t>G</t>
  </si>
  <si>
    <t>Distance</t>
  </si>
  <si>
    <t>H</t>
  </si>
  <si>
    <t>J</t>
  </si>
  <si>
    <t>I</t>
  </si>
  <si>
    <t>SHORTEST  ROUTE Problem</t>
  </si>
  <si>
    <t>MAXIMUM FLOW SOLUTION</t>
  </si>
  <si>
    <t>K</t>
  </si>
  <si>
    <t>L</t>
  </si>
  <si>
    <t>Units</t>
  </si>
  <si>
    <t xml:space="preserve"> -- Arcs --</t>
  </si>
  <si>
    <t>Upper</t>
  </si>
  <si>
    <t>of Flow</t>
  </si>
  <si>
    <t>Bound</t>
  </si>
  <si>
    <t xml:space="preserve"> Maximal Flow</t>
  </si>
  <si>
    <t>Minimum Cost Maximum Flow Problem</t>
  </si>
  <si>
    <t>Ship</t>
  </si>
  <si>
    <t xml:space="preserve">     From</t>
  </si>
  <si>
    <t xml:space="preserve">     To</t>
  </si>
  <si>
    <t>L.B.</t>
  </si>
  <si>
    <t>U.B</t>
  </si>
  <si>
    <t>Cost</t>
  </si>
  <si>
    <t xml:space="preserve">  Node</t>
  </si>
  <si>
    <t>Plant 1</t>
  </si>
  <si>
    <t>Plant 2</t>
  </si>
  <si>
    <t>Plant 3</t>
  </si>
  <si>
    <t>Plant 1 out</t>
  </si>
  <si>
    <t>Plant 2 out</t>
  </si>
  <si>
    <t>Plant 3 out</t>
  </si>
  <si>
    <t>Whse 1 in</t>
  </si>
  <si>
    <t>Whse 2 in</t>
  </si>
  <si>
    <t>Whse 1 out</t>
  </si>
  <si>
    <t>Whse 2 out</t>
  </si>
  <si>
    <t>Dist. 1</t>
  </si>
  <si>
    <t>Dist. 2</t>
  </si>
  <si>
    <t>Dist. 3</t>
  </si>
  <si>
    <t xml:space="preserve">Total Cost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</si>
</sst>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$&quot;#,##0.00"/>
    <numFmt numFmtId="165" formatCode="&quot;$&quot;#,##0"/>
    <numFmt numFmtId="166" formatCode="General_)"/>
    <numFmt numFmtId="167" formatCode="0.0"/>
    <numFmt numFmtId="168" formatCode="#,##0.0"/>
    <numFmt numFmtId="169" formatCode="0.0_)"/>
  </numFmts>
  <fonts count="1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sz val="10"/>
      <color indexed="8"/>
      <name val="Arial"/>
      <family val="2"/>
    </font>
    <font>
      <b/>
      <u/>
      <sz val="11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0" fillId="0" borderId="1" xfId="0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/>
    <xf numFmtId="0" fontId="3" fillId="0" borderId="2" xfId="0" applyFont="1" applyFill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67" fontId="1" fillId="0" borderId="1" xfId="0" applyNumberFormat="1" applyFont="1" applyBorder="1" applyAlignment="1">
      <alignment horizontal="center"/>
    </xf>
    <xf numFmtId="0" fontId="2" fillId="0" borderId="0" xfId="0" applyFont="1"/>
    <xf numFmtId="0" fontId="2" fillId="0" borderId="1" xfId="0" applyFont="1" applyBorder="1"/>
    <xf numFmtId="167" fontId="5" fillId="2" borderId="3" xfId="0" applyNumberFormat="1" applyFont="1" applyFill="1" applyBorder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68" fontId="7" fillId="2" borderId="5" xfId="0" applyNumberFormat="1" applyFont="1" applyFill="1" applyBorder="1" applyAlignment="1">
      <alignment horizontal="center"/>
    </xf>
    <xf numFmtId="0" fontId="0" fillId="0" borderId="0" xfId="0" applyAlignment="1"/>
    <xf numFmtId="167" fontId="5" fillId="2" borderId="6" xfId="0" applyNumberFormat="1" applyFont="1" applyFill="1" applyBorder="1" applyAlignment="1">
      <alignment horizontal="center"/>
    </xf>
    <xf numFmtId="0" fontId="0" fillId="0" borderId="2" xfId="0" applyBorder="1"/>
    <xf numFmtId="0" fontId="8" fillId="0" borderId="0" xfId="0" applyFont="1"/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0" fontId="11" fillId="0" borderId="0" xfId="0" applyFont="1" applyAlignment="1">
      <alignment horizontal="left"/>
    </xf>
    <xf numFmtId="166" fontId="2" fillId="0" borderId="0" xfId="0" applyNumberFormat="1" applyFont="1"/>
    <xf numFmtId="166" fontId="2" fillId="0" borderId="0" xfId="0" applyNumberFormat="1" applyFont="1" applyAlignment="1">
      <alignment horizontal="center"/>
    </xf>
    <xf numFmtId="166" fontId="8" fillId="0" borderId="0" xfId="0" applyNumberFormat="1" applyFont="1" applyAlignment="1">
      <alignment horizontal="center"/>
    </xf>
    <xf numFmtId="166" fontId="8" fillId="0" borderId="0" xfId="0" applyNumberFormat="1" applyFont="1" applyAlignment="1">
      <alignment horizontal="centerContinuous"/>
    </xf>
    <xf numFmtId="166" fontId="8" fillId="0" borderId="0" xfId="0" applyNumberFormat="1" applyFont="1" applyAlignment="1"/>
    <xf numFmtId="166" fontId="8" fillId="0" borderId="0" xfId="0" applyNumberFormat="1" applyFont="1" applyAlignment="1" applyProtection="1">
      <alignment horizontal="center"/>
    </xf>
    <xf numFmtId="166" fontId="8" fillId="0" borderId="0" xfId="0" applyNumberFormat="1" applyFont="1" applyAlignment="1" applyProtection="1">
      <alignment horizontal="centerContinuous"/>
    </xf>
    <xf numFmtId="166" fontId="8" fillId="0" borderId="1" xfId="0" applyNumberFormat="1" applyFont="1" applyBorder="1" applyAlignment="1" applyProtection="1">
      <alignment horizontal="center"/>
    </xf>
    <xf numFmtId="166" fontId="8" fillId="0" borderId="1" xfId="0" applyNumberFormat="1" applyFont="1" applyBorder="1" applyAlignment="1" applyProtection="1">
      <alignment horizontal="left"/>
    </xf>
    <xf numFmtId="166" fontId="8" fillId="0" borderId="1" xfId="0" applyNumberFormat="1" applyFont="1" applyBorder="1" applyAlignment="1">
      <alignment horizontal="left"/>
    </xf>
    <xf numFmtId="166" fontId="8" fillId="0" borderId="1" xfId="0" applyNumberFormat="1" applyFont="1" applyBorder="1" applyAlignment="1">
      <alignment horizontal="center"/>
    </xf>
    <xf numFmtId="166" fontId="8" fillId="0" borderId="1" xfId="0" applyNumberFormat="1" applyFont="1" applyBorder="1"/>
    <xf numFmtId="169" fontId="5" fillId="2" borderId="3" xfId="0" applyNumberFormat="1" applyFont="1" applyFill="1" applyBorder="1" applyAlignment="1" applyProtection="1">
      <alignment horizontal="center"/>
    </xf>
    <xf numFmtId="166" fontId="9" fillId="0" borderId="0" xfId="0" applyNumberFormat="1" applyFont="1" applyAlignment="1" applyProtection="1">
      <alignment horizontal="center"/>
      <protection locked="0"/>
    </xf>
    <xf numFmtId="166" fontId="12" fillId="0" borderId="0" xfId="0" applyNumberFormat="1" applyFont="1" applyAlignment="1" applyProtection="1">
      <alignment horizontal="center"/>
      <protection locked="0"/>
    </xf>
    <xf numFmtId="166" fontId="3" fillId="2" borderId="4" xfId="0" applyNumberFormat="1" applyFont="1" applyFill="1" applyBorder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166" fontId="8" fillId="0" borderId="0" xfId="0" applyNumberFormat="1" applyFont="1" applyBorder="1" applyAlignment="1">
      <alignment horizontal="center"/>
    </xf>
    <xf numFmtId="166" fontId="8" fillId="0" borderId="0" xfId="0" applyNumberFormat="1" applyFont="1" applyAlignment="1" applyProtection="1">
      <alignment horizontal="right"/>
    </xf>
    <xf numFmtId="166" fontId="2" fillId="0" borderId="2" xfId="0" applyNumberFormat="1" applyFont="1" applyBorder="1" applyAlignment="1">
      <alignment horizontal="center"/>
    </xf>
    <xf numFmtId="166" fontId="0" fillId="0" borderId="0" xfId="0" applyNumberFormat="1"/>
    <xf numFmtId="166" fontId="9" fillId="0" borderId="1" xfId="0" applyNumberFormat="1" applyFont="1" applyBorder="1" applyAlignment="1" applyProtection="1">
      <alignment horizontal="center"/>
      <protection locked="0"/>
    </xf>
    <xf numFmtId="169" fontId="7" fillId="2" borderId="5" xfId="0" applyNumberFormat="1" applyFont="1" applyFill="1" applyBorder="1" applyAlignment="1" applyProtection="1">
      <alignment horizontal="center"/>
    </xf>
    <xf numFmtId="166" fontId="8" fillId="0" borderId="0" xfId="0" applyNumberFormat="1" applyFont="1" applyAlignment="1" applyProtection="1">
      <alignment horizontal="left"/>
    </xf>
    <xf numFmtId="0" fontId="13" fillId="0" borderId="0" xfId="0" applyFont="1"/>
    <xf numFmtId="0" fontId="0" fillId="0" borderId="1" xfId="0" applyBorder="1"/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Continuous"/>
    </xf>
    <xf numFmtId="0" fontId="5" fillId="2" borderId="3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2" fontId="3" fillId="2" borderId="4" xfId="0" applyNumberFormat="1" applyFont="1" applyFill="1" applyBorder="1" applyAlignment="1">
      <alignment horizontal="center"/>
    </xf>
    <xf numFmtId="2" fontId="3" fillId="2" borderId="7" xfId="0" applyNumberFormat="1" applyFont="1" applyFill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left"/>
    </xf>
    <xf numFmtId="2" fontId="3" fillId="0" borderId="0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right"/>
    </xf>
    <xf numFmtId="165" fontId="7" fillId="2" borderId="5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198120</xdr:colOff>
      <xdr:row>0</xdr:row>
      <xdr:rowOff>152400</xdr:rowOff>
    </xdr:from>
    <xdr:to>
      <xdr:col>10</xdr:col>
      <xdr:colOff>369570</xdr:colOff>
      <xdr:row>2</xdr:row>
      <xdr:rowOff>159991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2333625" y="152400"/>
          <a:ext cx="3019425" cy="3238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Security Alarm Company</a:t>
          </a:r>
        </a:p>
      </xdr:txBody>
    </xdr:sp>
    <xdr:clientData/>
  </xdr:twoCellAnchor>
  <xdr:twoCellAnchor>
    <xdr:from>
      <xdr:col>8</xdr:col>
      <xdr:colOff>391372</xdr:colOff>
      <xdr:row>17</xdr:row>
      <xdr:rowOff>84667</xdr:rowOff>
    </xdr:from>
    <xdr:to>
      <xdr:col>12</xdr:col>
      <xdr:colOff>503140</xdr:colOff>
      <xdr:row>22</xdr:row>
      <xdr:rowOff>27516</xdr:rowOff>
    </xdr:to>
    <xdr:sp macro="" textlink="">
      <xdr:nvSpPr>
        <xdr:cNvPr id="1027" name="Note"/>
        <xdr:cNvSpPr txBox="1">
          <a:spLocks noChangeArrowheads="1"/>
        </xdr:cNvSpPr>
      </xdr:nvSpPr>
      <xdr:spPr bwMode="auto">
        <a:xfrm>
          <a:off x="4819439" y="3081867"/>
          <a:ext cx="2431634" cy="789516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G26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B7:B24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L7:L16=M7:M16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B7:B24&gt;=0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    </a:t>
          </a:r>
        </a:p>
        <a:p>
          <a:pPr algn="l" rtl="0">
            <a:defRPr sz="1000"/>
          </a:pPr>
          <a:endParaRPr lang="en-AU" sz="1000" b="0" i="0" strike="noStrike">
            <a:solidFill>
              <a:srgbClr val="000000"/>
            </a:solidFill>
            <a:latin typeface="Fixedsy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417195</xdr:colOff>
      <xdr:row>1</xdr:row>
      <xdr:rowOff>104775</xdr:rowOff>
    </xdr:from>
    <xdr:to>
      <xdr:col>9</xdr:col>
      <xdr:colOff>9512</xdr:colOff>
      <xdr:row>3</xdr:row>
      <xdr:rowOff>93430</xdr:rowOff>
    </xdr:to>
    <xdr:sp macro="[0]!Toggle" textlink="">
      <xdr:nvSpPr>
        <xdr:cNvPr id="2" name="Text 1"/>
        <xdr:cNvSpPr>
          <a:spLocks noChangeArrowheads="1"/>
        </xdr:cNvSpPr>
      </xdr:nvSpPr>
      <xdr:spPr bwMode="auto">
        <a:xfrm>
          <a:off x="1638300" y="304800"/>
          <a:ext cx="2162175" cy="3429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Lilliput Telephone Company</a:t>
          </a:r>
        </a:p>
      </xdr:txBody>
    </xdr:sp>
    <xdr:clientData/>
  </xdr:twoCellAnchor>
  <xdr:twoCellAnchor>
    <xdr:from>
      <xdr:col>8</xdr:col>
      <xdr:colOff>340995</xdr:colOff>
      <xdr:row>20</xdr:row>
      <xdr:rowOff>19050</xdr:rowOff>
    </xdr:from>
    <xdr:to>
      <xdr:col>12</xdr:col>
      <xdr:colOff>350520</xdr:colOff>
      <xdr:row>25</xdr:row>
      <xdr:rowOff>93393</xdr:rowOff>
    </xdr:to>
    <xdr:sp macro="" textlink="">
      <xdr:nvSpPr>
        <xdr:cNvPr id="3" name="Note"/>
        <xdr:cNvSpPr txBox="1">
          <a:spLocks noChangeArrowheads="1"/>
        </xdr:cNvSpPr>
      </xdr:nvSpPr>
      <xdr:spPr bwMode="auto">
        <a:xfrm>
          <a:off x="3743325" y="3352800"/>
          <a:ext cx="2733675" cy="8763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B30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B7:B28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K7:K18=L7:L18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B7:B28&lt;=G7:G28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B7:B28&gt;=0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236220</xdr:colOff>
      <xdr:row>2</xdr:row>
      <xdr:rowOff>28575</xdr:rowOff>
    </xdr:from>
    <xdr:to>
      <xdr:col>5</xdr:col>
      <xdr:colOff>0</xdr:colOff>
      <xdr:row>4</xdr:row>
      <xdr:rowOff>9525</xdr:rowOff>
    </xdr:to>
    <xdr:sp macro="[0]!Toggle" textlink="">
      <xdr:nvSpPr>
        <xdr:cNvPr id="2" name="Text 1"/>
        <xdr:cNvSpPr>
          <a:spLocks noChangeArrowheads="1"/>
        </xdr:cNvSpPr>
      </xdr:nvSpPr>
      <xdr:spPr bwMode="auto">
        <a:xfrm>
          <a:off x="1019175" y="381000"/>
          <a:ext cx="1438275" cy="304800"/>
        </a:xfrm>
        <a:prstGeom prst="roundRect">
          <a:avLst>
            <a:gd name="adj" fmla="val 16667"/>
          </a:avLst>
        </a:prstGeom>
        <a:solidFill>
          <a:srgbClr val="00FFFF"/>
        </a:solidFill>
        <a:ln w="1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Britts &amp; Straggon</a:t>
          </a:r>
        </a:p>
      </xdr:txBody>
    </xdr:sp>
    <xdr:clientData/>
  </xdr:twoCellAnchor>
  <xdr:twoCellAnchor>
    <xdr:from>
      <xdr:col>8</xdr:col>
      <xdr:colOff>247650</xdr:colOff>
      <xdr:row>19</xdr:row>
      <xdr:rowOff>9525</xdr:rowOff>
    </xdr:from>
    <xdr:to>
      <xdr:col>12</xdr:col>
      <xdr:colOff>796290</xdr:colOff>
      <xdr:row>24</xdr:row>
      <xdr:rowOff>131445</xdr:rowOff>
    </xdr:to>
    <xdr:sp macro="" textlink="">
      <xdr:nvSpPr>
        <xdr:cNvPr id="3" name="Note"/>
        <xdr:cNvSpPr txBox="1">
          <a:spLocks noChangeArrowheads="1"/>
        </xdr:cNvSpPr>
      </xdr:nvSpPr>
      <xdr:spPr bwMode="auto">
        <a:xfrm>
          <a:off x="4371975" y="3133725"/>
          <a:ext cx="2343150" cy="9620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H24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A6:A22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A6:A22&gt;=F6:F22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A6:A22&lt;=G6:G22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L6:L18&gt;=M6:M18  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M27"/>
  <sheetViews>
    <sheetView tabSelected="1" zoomScale="90" workbookViewId="0">
      <selection activeCell="L29" sqref="L29"/>
    </sheetView>
  </sheetViews>
  <sheetFormatPr defaultRowHeight="13.2" x14ac:dyDescent="0.25"/>
  <cols>
    <col min="1" max="1" width="5.44140625" customWidth="1"/>
    <col min="2" max="2" width="7.44140625" customWidth="1"/>
    <col min="3" max="3" width="3.5546875" style="1" customWidth="1"/>
    <col min="4" max="4" width="12.5546875" customWidth="1"/>
    <col min="5" max="5" width="3.109375" style="1" customWidth="1"/>
    <col min="6" max="6" width="14.44140625" customWidth="1"/>
    <col min="7" max="8" width="9" style="1" customWidth="1"/>
    <col min="9" max="9" width="7" customWidth="1"/>
    <col min="10" max="10" width="3.33203125" style="2" customWidth="1"/>
    <col min="11" max="11" width="14.44140625" customWidth="1"/>
    <col min="12" max="12" width="9" customWidth="1"/>
    <col min="13" max="13" width="15.44140625" style="1" customWidth="1"/>
  </cols>
  <sheetData>
    <row r="1" spans="1:13" ht="21.75" customHeight="1" x14ac:dyDescent="0.3">
      <c r="A1" s="78" t="s">
        <v>19</v>
      </c>
      <c r="B1" s="78"/>
      <c r="C1" s="78"/>
      <c r="D1" s="78"/>
      <c r="E1" s="78"/>
    </row>
    <row r="2" spans="1:13" x14ac:dyDescent="0.25">
      <c r="G2" s="27"/>
    </row>
    <row r="5" spans="1:13" x14ac:dyDescent="0.25">
      <c r="B5" s="2" t="s">
        <v>0</v>
      </c>
      <c r="G5" s="2"/>
      <c r="H5" s="2"/>
    </row>
    <row r="6" spans="1:13" ht="13.8" thickBot="1" x14ac:dyDescent="0.3">
      <c r="B6" s="3" t="s">
        <v>1</v>
      </c>
      <c r="C6" s="5" t="s">
        <v>2</v>
      </c>
      <c r="D6" s="5"/>
      <c r="E6" s="5" t="s">
        <v>3</v>
      </c>
      <c r="F6" s="4"/>
      <c r="G6" s="32" t="s">
        <v>15</v>
      </c>
      <c r="H6" s="3"/>
      <c r="J6" s="3" t="s">
        <v>4</v>
      </c>
      <c r="K6" s="7"/>
      <c r="L6" s="3" t="s">
        <v>5</v>
      </c>
      <c r="M6" s="3" t="s">
        <v>6</v>
      </c>
    </row>
    <row r="7" spans="1:13" x14ac:dyDescent="0.25">
      <c r="B7" s="24">
        <v>0</v>
      </c>
      <c r="C7" s="2">
        <v>1</v>
      </c>
      <c r="D7" s="22" t="str">
        <f>VLOOKUP(C7,$J$7:$K$16,2,0)</f>
        <v>A</v>
      </c>
      <c r="E7" s="2">
        <v>2</v>
      </c>
      <c r="F7" s="22" t="str">
        <f>VLOOKUP(E7,$J$7:$K$16,2,0)</f>
        <v>B</v>
      </c>
      <c r="G7" s="17">
        <v>60</v>
      </c>
      <c r="H7" s="18"/>
      <c r="J7" s="2">
        <v>1</v>
      </c>
      <c r="K7" s="30" t="s">
        <v>8</v>
      </c>
      <c r="L7" s="25">
        <f t="shared" ref="L7:L16" si="0">SUMIF($E$7:$E$24,J7,$B$7:$B$24)-SUMIF($C$7:$C$24,J7,$B$7:$B$24)</f>
        <v>-1</v>
      </c>
      <c r="M7" s="2">
        <v>-1</v>
      </c>
    </row>
    <row r="8" spans="1:13" x14ac:dyDescent="0.25">
      <c r="B8" s="24">
        <v>1</v>
      </c>
      <c r="C8" s="2">
        <v>1</v>
      </c>
      <c r="D8" s="22" t="str">
        <f t="shared" ref="D8:D24" si="1">VLOOKUP(C8,$J$7:$K$16,2,0)</f>
        <v>A</v>
      </c>
      <c r="E8" s="2">
        <v>3</v>
      </c>
      <c r="F8" s="22" t="str">
        <f t="shared" ref="F8:F24" si="2">VLOOKUP(E8,$J$7:$K$16,2,0)</f>
        <v>C</v>
      </c>
      <c r="G8" s="17">
        <v>55</v>
      </c>
      <c r="H8" s="18"/>
      <c r="J8" s="2">
        <v>2</v>
      </c>
      <c r="K8" s="30" t="s">
        <v>9</v>
      </c>
      <c r="L8" s="25">
        <f t="shared" si="0"/>
        <v>0</v>
      </c>
      <c r="M8" s="2">
        <v>0</v>
      </c>
    </row>
    <row r="9" spans="1:13" x14ac:dyDescent="0.25">
      <c r="B9" s="24">
        <v>0</v>
      </c>
      <c r="C9" s="2">
        <v>2</v>
      </c>
      <c r="D9" s="22" t="str">
        <f t="shared" si="1"/>
        <v>B</v>
      </c>
      <c r="E9" s="2">
        <v>3</v>
      </c>
      <c r="F9" s="22" t="str">
        <f t="shared" si="2"/>
        <v>C</v>
      </c>
      <c r="G9" s="17">
        <v>75</v>
      </c>
      <c r="H9" s="18"/>
      <c r="J9" s="2">
        <v>3</v>
      </c>
      <c r="K9" s="30" t="s">
        <v>10</v>
      </c>
      <c r="L9" s="25">
        <f t="shared" si="0"/>
        <v>0</v>
      </c>
      <c r="M9" s="2">
        <v>0</v>
      </c>
    </row>
    <row r="10" spans="1:13" x14ac:dyDescent="0.25">
      <c r="B10" s="24">
        <v>0</v>
      </c>
      <c r="C10" s="2">
        <v>2</v>
      </c>
      <c r="D10" s="22" t="str">
        <f t="shared" si="1"/>
        <v>B</v>
      </c>
      <c r="E10" s="2">
        <v>4</v>
      </c>
      <c r="F10" s="22" t="str">
        <f t="shared" si="2"/>
        <v>D</v>
      </c>
      <c r="G10" s="17">
        <v>80</v>
      </c>
      <c r="H10" s="18"/>
      <c r="J10" s="2">
        <v>4</v>
      </c>
      <c r="K10" s="30" t="s">
        <v>11</v>
      </c>
      <c r="L10" s="25">
        <f t="shared" si="0"/>
        <v>0</v>
      </c>
      <c r="M10" s="2">
        <v>0</v>
      </c>
    </row>
    <row r="11" spans="1:13" x14ac:dyDescent="0.25">
      <c r="B11" s="24">
        <v>0</v>
      </c>
      <c r="C11" s="2">
        <v>2</v>
      </c>
      <c r="D11" s="22" t="str">
        <f t="shared" si="1"/>
        <v>B</v>
      </c>
      <c r="E11" s="2">
        <v>5</v>
      </c>
      <c r="F11" s="22" t="str">
        <f t="shared" si="2"/>
        <v>E</v>
      </c>
      <c r="G11" s="17">
        <v>70</v>
      </c>
      <c r="H11" s="18"/>
      <c r="J11" s="2">
        <v>5</v>
      </c>
      <c r="K11" s="30" t="s">
        <v>12</v>
      </c>
      <c r="L11" s="25">
        <f t="shared" si="0"/>
        <v>0</v>
      </c>
      <c r="M11" s="2">
        <v>0</v>
      </c>
    </row>
    <row r="12" spans="1:13" x14ac:dyDescent="0.25">
      <c r="B12" s="24">
        <v>0</v>
      </c>
      <c r="C12" s="2">
        <v>3</v>
      </c>
      <c r="D12" s="22" t="str">
        <f t="shared" si="1"/>
        <v>C</v>
      </c>
      <c r="E12" s="2">
        <v>5</v>
      </c>
      <c r="F12" s="22" t="str">
        <f t="shared" si="2"/>
        <v>E</v>
      </c>
      <c r="G12" s="17">
        <v>95</v>
      </c>
      <c r="H12" s="18"/>
      <c r="J12" s="2">
        <v>6</v>
      </c>
      <c r="K12" s="30" t="s">
        <v>13</v>
      </c>
      <c r="L12" s="25">
        <f t="shared" si="0"/>
        <v>0</v>
      </c>
      <c r="M12" s="2">
        <v>0</v>
      </c>
    </row>
    <row r="13" spans="1:13" x14ac:dyDescent="0.25">
      <c r="B13" s="24">
        <v>1</v>
      </c>
      <c r="C13" s="2">
        <v>3</v>
      </c>
      <c r="D13" s="22" t="str">
        <f t="shared" si="1"/>
        <v>C</v>
      </c>
      <c r="E13" s="2">
        <v>6</v>
      </c>
      <c r="F13" s="22" t="str">
        <f t="shared" si="2"/>
        <v>F</v>
      </c>
      <c r="G13" s="17">
        <v>65</v>
      </c>
      <c r="H13" s="18"/>
      <c r="J13" s="2">
        <v>7</v>
      </c>
      <c r="K13" s="30" t="s">
        <v>14</v>
      </c>
      <c r="L13" s="25">
        <f t="shared" si="0"/>
        <v>0</v>
      </c>
      <c r="M13" s="2">
        <v>0</v>
      </c>
    </row>
    <row r="14" spans="1:13" x14ac:dyDescent="0.25">
      <c r="B14" s="24">
        <v>0</v>
      </c>
      <c r="C14" s="2">
        <v>4</v>
      </c>
      <c r="D14" s="22" t="str">
        <f t="shared" si="1"/>
        <v>D</v>
      </c>
      <c r="E14" s="2">
        <v>5</v>
      </c>
      <c r="F14" s="22" t="str">
        <f t="shared" si="2"/>
        <v>E</v>
      </c>
      <c r="G14" s="17">
        <v>60</v>
      </c>
      <c r="H14" s="18"/>
      <c r="J14" s="8">
        <v>8</v>
      </c>
      <c r="K14" s="30" t="s">
        <v>16</v>
      </c>
      <c r="L14" s="25">
        <f t="shared" si="0"/>
        <v>0</v>
      </c>
      <c r="M14" s="2">
        <v>0</v>
      </c>
    </row>
    <row r="15" spans="1:13" x14ac:dyDescent="0.25">
      <c r="B15" s="24">
        <v>0</v>
      </c>
      <c r="C15" s="2">
        <v>4</v>
      </c>
      <c r="D15" s="22" t="str">
        <f t="shared" si="1"/>
        <v>D</v>
      </c>
      <c r="E15" s="2">
        <v>7</v>
      </c>
      <c r="F15" s="22" t="str">
        <f t="shared" si="2"/>
        <v>G</v>
      </c>
      <c r="G15" s="17">
        <v>85</v>
      </c>
      <c r="H15" s="18"/>
      <c r="J15" s="2">
        <v>9</v>
      </c>
      <c r="K15" s="30" t="s">
        <v>17</v>
      </c>
      <c r="L15" s="25">
        <f t="shared" si="0"/>
        <v>0</v>
      </c>
      <c r="M15" s="2">
        <v>0</v>
      </c>
    </row>
    <row r="16" spans="1:13" ht="13.8" thickBot="1" x14ac:dyDescent="0.3">
      <c r="B16" s="24">
        <v>0</v>
      </c>
      <c r="C16" s="10">
        <v>4</v>
      </c>
      <c r="D16" s="22" t="str">
        <f t="shared" si="1"/>
        <v>D</v>
      </c>
      <c r="E16" s="10">
        <v>8</v>
      </c>
      <c r="F16" s="22" t="str">
        <f t="shared" si="2"/>
        <v>H</v>
      </c>
      <c r="G16" s="17">
        <v>90</v>
      </c>
      <c r="H16" s="19"/>
      <c r="J16" s="3">
        <v>10</v>
      </c>
      <c r="K16" s="31" t="s">
        <v>18</v>
      </c>
      <c r="L16" s="25">
        <f t="shared" si="0"/>
        <v>1</v>
      </c>
      <c r="M16" s="3">
        <v>1</v>
      </c>
    </row>
    <row r="17" spans="2:13" x14ac:dyDescent="0.25">
      <c r="B17" s="24">
        <v>0</v>
      </c>
      <c r="C17" s="10">
        <v>5</v>
      </c>
      <c r="D17" s="22" t="str">
        <f t="shared" si="1"/>
        <v>E</v>
      </c>
      <c r="E17" s="10">
        <v>6</v>
      </c>
      <c r="F17" s="22" t="str">
        <f t="shared" si="2"/>
        <v>F</v>
      </c>
      <c r="G17" s="17">
        <v>75</v>
      </c>
      <c r="H17" s="19"/>
      <c r="J17" s="14"/>
      <c r="K17" s="15"/>
      <c r="L17" s="16"/>
      <c r="M17" s="14"/>
    </row>
    <row r="18" spans="2:13" x14ac:dyDescent="0.25">
      <c r="B18" s="24">
        <v>0</v>
      </c>
      <c r="C18" s="10">
        <v>5</v>
      </c>
      <c r="D18" s="22" t="str">
        <f t="shared" si="1"/>
        <v>E</v>
      </c>
      <c r="E18" s="10">
        <v>7</v>
      </c>
      <c r="F18" s="22" t="str">
        <f t="shared" si="2"/>
        <v>G</v>
      </c>
      <c r="G18" s="17">
        <v>90</v>
      </c>
      <c r="H18" s="19"/>
      <c r="J18"/>
      <c r="M18"/>
    </row>
    <row r="19" spans="2:13" x14ac:dyDescent="0.25">
      <c r="B19" s="24">
        <v>0</v>
      </c>
      <c r="C19" s="10">
        <v>6</v>
      </c>
      <c r="D19" s="22" t="str">
        <f t="shared" si="1"/>
        <v>F</v>
      </c>
      <c r="E19" s="10">
        <v>9</v>
      </c>
      <c r="F19" s="22" t="str">
        <f t="shared" si="2"/>
        <v>J</v>
      </c>
      <c r="G19" s="17">
        <v>80</v>
      </c>
      <c r="H19" s="19"/>
      <c r="J19" s="8"/>
      <c r="K19" s="11"/>
      <c r="L19" s="9"/>
      <c r="M19" s="8"/>
    </row>
    <row r="20" spans="2:13" x14ac:dyDescent="0.25">
      <c r="B20" s="24">
        <v>1</v>
      </c>
      <c r="C20" s="10">
        <v>6</v>
      </c>
      <c r="D20" s="22" t="str">
        <f t="shared" si="1"/>
        <v>F</v>
      </c>
      <c r="E20" s="10">
        <v>10</v>
      </c>
      <c r="F20" s="22" t="str">
        <f t="shared" si="2"/>
        <v>I</v>
      </c>
      <c r="G20" s="17">
        <v>120</v>
      </c>
      <c r="H20" s="19"/>
      <c r="J20" s="8"/>
      <c r="K20" s="11"/>
      <c r="L20" s="9"/>
      <c r="M20" s="8"/>
    </row>
    <row r="21" spans="2:13" x14ac:dyDescent="0.25">
      <c r="B21" s="24">
        <v>0</v>
      </c>
      <c r="C21" s="10">
        <v>7</v>
      </c>
      <c r="D21" s="22" t="str">
        <f t="shared" si="1"/>
        <v>G</v>
      </c>
      <c r="E21" s="10">
        <v>8</v>
      </c>
      <c r="F21" s="22" t="str">
        <f t="shared" si="2"/>
        <v>H</v>
      </c>
      <c r="G21" s="17">
        <v>60</v>
      </c>
      <c r="H21" s="19"/>
      <c r="J21" s="8"/>
      <c r="K21" s="12"/>
      <c r="L21" s="12"/>
      <c r="M21" s="13"/>
    </row>
    <row r="22" spans="2:13" x14ac:dyDescent="0.25">
      <c r="B22" s="24">
        <v>0</v>
      </c>
      <c r="C22" s="2">
        <v>7</v>
      </c>
      <c r="D22" s="22" t="str">
        <f t="shared" si="1"/>
        <v>G</v>
      </c>
      <c r="E22" s="2">
        <v>10</v>
      </c>
      <c r="F22" s="22" t="str">
        <f t="shared" si="2"/>
        <v>I</v>
      </c>
      <c r="G22" s="17">
        <v>70</v>
      </c>
      <c r="H22" s="18"/>
      <c r="J22" s="12"/>
      <c r="K22" s="12"/>
      <c r="L22" s="12"/>
      <c r="M22" s="12"/>
    </row>
    <row r="23" spans="2:13" x14ac:dyDescent="0.25">
      <c r="B23" s="24">
        <v>0</v>
      </c>
      <c r="C23" s="2">
        <v>8</v>
      </c>
      <c r="D23" s="22" t="str">
        <f t="shared" si="1"/>
        <v>H</v>
      </c>
      <c r="E23" s="2">
        <v>10</v>
      </c>
      <c r="F23" s="22" t="str">
        <f t="shared" si="2"/>
        <v>I</v>
      </c>
      <c r="G23" s="17">
        <v>50</v>
      </c>
      <c r="H23" s="18"/>
    </row>
    <row r="24" spans="2:13" ht="13.8" thickBot="1" x14ac:dyDescent="0.3">
      <c r="B24" s="28">
        <v>0</v>
      </c>
      <c r="C24" s="3">
        <v>9</v>
      </c>
      <c r="D24" s="23" t="str">
        <f t="shared" si="1"/>
        <v>J</v>
      </c>
      <c r="E24" s="3">
        <v>10</v>
      </c>
      <c r="F24" s="23" t="str">
        <f t="shared" si="2"/>
        <v>I</v>
      </c>
      <c r="G24" s="21">
        <v>45</v>
      </c>
      <c r="H24" s="20"/>
    </row>
    <row r="25" spans="2:13" ht="13.8" thickBot="1" x14ac:dyDescent="0.3">
      <c r="B25" s="29"/>
      <c r="C25"/>
      <c r="E25"/>
      <c r="G25"/>
      <c r="H25"/>
    </row>
    <row r="26" spans="2:13" ht="14.4" thickTop="1" thickBot="1" x14ac:dyDescent="0.3">
      <c r="F26" s="6" t="s">
        <v>7</v>
      </c>
      <c r="G26" s="26">
        <f>SUMPRODUCT(G7:G24,$B$7:$B$24)</f>
        <v>240</v>
      </c>
      <c r="H26"/>
      <c r="I26" s="2"/>
      <c r="J26"/>
      <c r="L26" s="1"/>
      <c r="M26"/>
    </row>
    <row r="27" spans="2:13" ht="13.8" thickTop="1" x14ac:dyDescent="0.25">
      <c r="G27"/>
      <c r="H27"/>
    </row>
  </sheetData>
  <mergeCells count="1">
    <mergeCell ref="A1:E1"/>
  </mergeCells>
  <phoneticPr fontId="0" type="noConversion"/>
  <pageMargins left="0.75" right="0.75" top="1" bottom="1" header="0.5" footer="0.5"/>
  <pageSetup scale="79"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M31"/>
  <sheetViews>
    <sheetView workbookViewId="0">
      <selection activeCell="J35" sqref="J35"/>
    </sheetView>
  </sheetViews>
  <sheetFormatPr defaultColWidth="5.6640625" defaultRowHeight="13.2" x14ac:dyDescent="0.25"/>
  <cols>
    <col min="1" max="1" width="5.6640625" style="34"/>
    <col min="2" max="2" width="9" style="35" customWidth="1"/>
    <col min="3" max="3" width="3.6640625" style="35" customWidth="1"/>
    <col min="4" max="4" width="8" style="35" customWidth="1"/>
    <col min="5" max="5" width="4.44140625" style="35" customWidth="1"/>
    <col min="6" max="6" width="8" style="35" customWidth="1"/>
    <col min="7" max="7" width="7.109375" style="35" bestFit="1" customWidth="1"/>
    <col min="8" max="8" width="6.33203125" style="34" customWidth="1"/>
    <col min="9" max="9" width="5.6640625" style="35"/>
    <col min="10" max="11" width="9.44140625" style="35" bestFit="1" customWidth="1"/>
    <col min="12" max="12" width="16.33203125" style="34" bestFit="1" customWidth="1"/>
    <col min="13" max="16384" width="5.6640625" style="34"/>
  </cols>
  <sheetData>
    <row r="1" spans="1:13" ht="15.6" x14ac:dyDescent="0.3">
      <c r="A1" s="33" t="s">
        <v>20</v>
      </c>
      <c r="C1" s="36"/>
      <c r="D1" s="36"/>
      <c r="E1" s="36"/>
      <c r="F1" s="36"/>
      <c r="G1" s="36"/>
      <c r="H1" s="37"/>
    </row>
    <row r="2" spans="1:13" ht="15.6" x14ac:dyDescent="0.3">
      <c r="A2" s="33"/>
      <c r="C2" s="36"/>
      <c r="D2" s="36"/>
      <c r="E2" s="36"/>
      <c r="F2" s="36"/>
      <c r="G2" s="36"/>
      <c r="H2" s="37"/>
    </row>
    <row r="3" spans="1:13" x14ac:dyDescent="0.25">
      <c r="C3" s="36"/>
      <c r="D3" s="36"/>
      <c r="E3" s="36"/>
      <c r="F3" s="36"/>
      <c r="G3" s="38"/>
      <c r="H3" s="37"/>
    </row>
    <row r="5" spans="1:13" x14ac:dyDescent="0.25">
      <c r="B5" s="39" t="s">
        <v>23</v>
      </c>
      <c r="C5" s="40" t="s">
        <v>24</v>
      </c>
      <c r="D5" s="40"/>
      <c r="E5" s="37"/>
      <c r="F5" s="37"/>
      <c r="G5" s="39" t="s">
        <v>25</v>
      </c>
    </row>
    <row r="6" spans="1:13" ht="13.8" thickBot="1" x14ac:dyDescent="0.3">
      <c r="B6" s="41" t="s">
        <v>26</v>
      </c>
      <c r="C6" s="42" t="s">
        <v>2</v>
      </c>
      <c r="D6" s="41"/>
      <c r="E6" s="42" t="s">
        <v>3</v>
      </c>
      <c r="F6" s="41"/>
      <c r="G6" s="41" t="s">
        <v>27</v>
      </c>
      <c r="I6" s="43" t="s">
        <v>4</v>
      </c>
      <c r="J6" s="44"/>
      <c r="K6" s="44" t="s">
        <v>5</v>
      </c>
      <c r="L6" s="45" t="s">
        <v>6</v>
      </c>
    </row>
    <row r="7" spans="1:13" x14ac:dyDescent="0.25">
      <c r="B7" s="46">
        <v>2</v>
      </c>
      <c r="C7" s="47">
        <v>1</v>
      </c>
      <c r="D7" s="48" t="str">
        <f>VLOOKUP(C7,$I$7:$J$18,2,0)</f>
        <v>A</v>
      </c>
      <c r="E7" s="47">
        <v>2</v>
      </c>
      <c r="F7" s="48" t="str">
        <f>VLOOKUP(E7,$I$7:$J$18,2,0)</f>
        <v>B</v>
      </c>
      <c r="G7" s="47">
        <v>5</v>
      </c>
      <c r="I7" s="36">
        <v>1</v>
      </c>
      <c r="J7" s="36" t="s">
        <v>8</v>
      </c>
      <c r="K7" s="49">
        <f t="shared" ref="K7:K18" si="0">SUMIF($E$7:$E$28,I7,$B$7:$B$28)-SUMIF($C$7:$C$28,I7,$B$7:$B$28)</f>
        <v>0</v>
      </c>
      <c r="L7" s="36">
        <v>0</v>
      </c>
    </row>
    <row r="8" spans="1:13" x14ac:dyDescent="0.25">
      <c r="B8" s="46">
        <v>4</v>
      </c>
      <c r="C8" s="47">
        <v>1</v>
      </c>
      <c r="D8" s="48" t="str">
        <f t="shared" ref="D8:D28" si="1">VLOOKUP(C8,$I$7:$J$18,2,0)</f>
        <v>A</v>
      </c>
      <c r="E8" s="47">
        <v>3</v>
      </c>
      <c r="F8" s="48" t="str">
        <f t="shared" ref="F8:F28" si="2">VLOOKUP(E8,$I$7:$J$18,2,0)</f>
        <v>C</v>
      </c>
      <c r="G8" s="47">
        <v>5</v>
      </c>
      <c r="I8" s="36">
        <v>2</v>
      </c>
      <c r="J8" s="36" t="s">
        <v>9</v>
      </c>
      <c r="K8" s="49">
        <f t="shared" si="0"/>
        <v>0</v>
      </c>
      <c r="L8" s="36">
        <v>0</v>
      </c>
    </row>
    <row r="9" spans="1:13" x14ac:dyDescent="0.25">
      <c r="B9" s="46">
        <v>4</v>
      </c>
      <c r="C9" s="47">
        <v>1</v>
      </c>
      <c r="D9" s="48" t="str">
        <f t="shared" si="1"/>
        <v>A</v>
      </c>
      <c r="E9" s="47">
        <v>4</v>
      </c>
      <c r="F9" s="48" t="str">
        <f t="shared" si="2"/>
        <v>D</v>
      </c>
      <c r="G9" s="47">
        <v>4</v>
      </c>
      <c r="I9" s="36">
        <v>3</v>
      </c>
      <c r="J9" s="36" t="s">
        <v>10</v>
      </c>
      <c r="K9" s="49">
        <f t="shared" si="0"/>
        <v>0</v>
      </c>
      <c r="L9" s="36">
        <v>0</v>
      </c>
    </row>
    <row r="10" spans="1:13" x14ac:dyDescent="0.25">
      <c r="B10" s="46">
        <v>4</v>
      </c>
      <c r="C10" s="47">
        <v>1</v>
      </c>
      <c r="D10" s="48" t="str">
        <f t="shared" si="1"/>
        <v>A</v>
      </c>
      <c r="E10" s="47">
        <v>5</v>
      </c>
      <c r="F10" s="48" t="str">
        <f t="shared" si="2"/>
        <v>E</v>
      </c>
      <c r="G10" s="47">
        <v>6</v>
      </c>
      <c r="I10" s="36">
        <v>4</v>
      </c>
      <c r="J10" s="36" t="s">
        <v>11</v>
      </c>
      <c r="K10" s="49">
        <f t="shared" si="0"/>
        <v>0</v>
      </c>
      <c r="L10" s="36">
        <v>0</v>
      </c>
    </row>
    <row r="11" spans="1:13" x14ac:dyDescent="0.25">
      <c r="B11" s="46">
        <v>2</v>
      </c>
      <c r="C11" s="47">
        <v>2</v>
      </c>
      <c r="D11" s="48" t="str">
        <f t="shared" si="1"/>
        <v>B</v>
      </c>
      <c r="E11" s="47">
        <v>4</v>
      </c>
      <c r="F11" s="48" t="str">
        <f t="shared" si="2"/>
        <v>D</v>
      </c>
      <c r="G11" s="47">
        <v>4</v>
      </c>
      <c r="I11" s="36">
        <v>5</v>
      </c>
      <c r="J11" s="36" t="s">
        <v>12</v>
      </c>
      <c r="K11" s="49">
        <f t="shared" si="0"/>
        <v>0</v>
      </c>
      <c r="L11" s="36">
        <v>0</v>
      </c>
    </row>
    <row r="12" spans="1:13" x14ac:dyDescent="0.25">
      <c r="B12" s="46">
        <v>0</v>
      </c>
      <c r="C12" s="47">
        <v>3</v>
      </c>
      <c r="D12" s="48" t="str">
        <f t="shared" si="1"/>
        <v>C</v>
      </c>
      <c r="E12" s="47">
        <v>5</v>
      </c>
      <c r="F12" s="48" t="str">
        <f t="shared" si="2"/>
        <v>E</v>
      </c>
      <c r="G12" s="47">
        <v>5</v>
      </c>
      <c r="I12" s="36">
        <v>6</v>
      </c>
      <c r="J12" s="36" t="s">
        <v>13</v>
      </c>
      <c r="K12" s="49">
        <f t="shared" si="0"/>
        <v>0</v>
      </c>
      <c r="L12" s="36">
        <v>0</v>
      </c>
    </row>
    <row r="13" spans="1:13" x14ac:dyDescent="0.25">
      <c r="B13" s="46">
        <v>4</v>
      </c>
      <c r="C13" s="47">
        <v>3</v>
      </c>
      <c r="D13" s="48" t="str">
        <f t="shared" si="1"/>
        <v>C</v>
      </c>
      <c r="E13" s="47">
        <v>6</v>
      </c>
      <c r="F13" s="48" t="str">
        <f t="shared" si="2"/>
        <v>F</v>
      </c>
      <c r="G13" s="47">
        <v>4</v>
      </c>
      <c r="I13" s="36">
        <v>7</v>
      </c>
      <c r="J13" s="36" t="s">
        <v>14</v>
      </c>
      <c r="K13" s="49">
        <f t="shared" si="0"/>
        <v>0</v>
      </c>
      <c r="L13" s="36">
        <v>0</v>
      </c>
      <c r="M13" s="50"/>
    </row>
    <row r="14" spans="1:13" x14ac:dyDescent="0.25">
      <c r="B14" s="46">
        <v>3</v>
      </c>
      <c r="C14" s="47">
        <v>4</v>
      </c>
      <c r="D14" s="48" t="str">
        <f t="shared" si="1"/>
        <v>D</v>
      </c>
      <c r="E14" s="47">
        <v>6</v>
      </c>
      <c r="F14" s="48" t="str">
        <f t="shared" si="2"/>
        <v>F</v>
      </c>
      <c r="G14" s="47">
        <v>3</v>
      </c>
      <c r="I14" s="36">
        <v>8</v>
      </c>
      <c r="J14" s="36" t="s">
        <v>16</v>
      </c>
      <c r="K14" s="49">
        <f t="shared" si="0"/>
        <v>0</v>
      </c>
      <c r="L14" s="36">
        <v>0</v>
      </c>
    </row>
    <row r="15" spans="1:13" x14ac:dyDescent="0.25">
      <c r="B15" s="46">
        <v>3</v>
      </c>
      <c r="C15" s="47">
        <v>4</v>
      </c>
      <c r="D15" s="48" t="str">
        <f t="shared" si="1"/>
        <v>D</v>
      </c>
      <c r="E15" s="47">
        <v>8</v>
      </c>
      <c r="F15" s="48" t="str">
        <f t="shared" si="2"/>
        <v>H</v>
      </c>
      <c r="G15" s="47">
        <v>6</v>
      </c>
      <c r="I15" s="36">
        <v>9</v>
      </c>
      <c r="J15" s="36" t="s">
        <v>18</v>
      </c>
      <c r="K15" s="49">
        <f t="shared" si="0"/>
        <v>0</v>
      </c>
      <c r="L15" s="36">
        <v>0</v>
      </c>
    </row>
    <row r="16" spans="1:13" x14ac:dyDescent="0.25">
      <c r="B16" s="46">
        <v>2</v>
      </c>
      <c r="C16" s="47">
        <v>5</v>
      </c>
      <c r="D16" s="48" t="str">
        <f t="shared" si="1"/>
        <v>E</v>
      </c>
      <c r="E16" s="47">
        <v>7</v>
      </c>
      <c r="F16" s="48" t="str">
        <f t="shared" si="2"/>
        <v>G</v>
      </c>
      <c r="G16" s="47">
        <v>2</v>
      </c>
      <c r="I16" s="36">
        <v>10</v>
      </c>
      <c r="J16" s="36" t="s">
        <v>17</v>
      </c>
      <c r="K16" s="49">
        <f t="shared" si="0"/>
        <v>0</v>
      </c>
      <c r="L16" s="36">
        <v>0</v>
      </c>
    </row>
    <row r="17" spans="2:12" x14ac:dyDescent="0.25">
      <c r="B17" s="46">
        <v>2</v>
      </c>
      <c r="C17" s="47">
        <v>5</v>
      </c>
      <c r="D17" s="48" t="str">
        <f t="shared" si="1"/>
        <v>E</v>
      </c>
      <c r="E17" s="47">
        <v>9</v>
      </c>
      <c r="F17" s="48" t="str">
        <f t="shared" si="2"/>
        <v>I</v>
      </c>
      <c r="G17" s="47">
        <v>3</v>
      </c>
      <c r="I17" s="36">
        <v>11</v>
      </c>
      <c r="J17" s="36" t="s">
        <v>21</v>
      </c>
      <c r="K17" s="49">
        <f t="shared" si="0"/>
        <v>0</v>
      </c>
      <c r="L17" s="36">
        <v>0</v>
      </c>
    </row>
    <row r="18" spans="2:12" ht="13.8" thickBot="1" x14ac:dyDescent="0.3">
      <c r="B18" s="46">
        <v>2</v>
      </c>
      <c r="C18" s="47">
        <v>6</v>
      </c>
      <c r="D18" s="48" t="str">
        <f t="shared" si="1"/>
        <v>F</v>
      </c>
      <c r="E18" s="47">
        <v>7</v>
      </c>
      <c r="F18" s="48" t="str">
        <f t="shared" si="2"/>
        <v>G</v>
      </c>
      <c r="G18" s="47">
        <v>5</v>
      </c>
      <c r="I18" s="36">
        <v>12</v>
      </c>
      <c r="J18" s="51" t="s">
        <v>22</v>
      </c>
      <c r="K18" s="49">
        <f t="shared" si="0"/>
        <v>0</v>
      </c>
      <c r="L18" s="36">
        <v>0</v>
      </c>
    </row>
    <row r="19" spans="2:12" x14ac:dyDescent="0.25">
      <c r="B19" s="46">
        <v>6</v>
      </c>
      <c r="C19" s="47">
        <v>6</v>
      </c>
      <c r="D19" s="48" t="str">
        <f t="shared" si="1"/>
        <v>F</v>
      </c>
      <c r="E19" s="47">
        <v>9</v>
      </c>
      <c r="F19" s="48" t="str">
        <f t="shared" si="2"/>
        <v>I</v>
      </c>
      <c r="G19" s="47">
        <v>6</v>
      </c>
      <c r="H19" s="52"/>
      <c r="I19" s="53"/>
      <c r="J19" s="53"/>
      <c r="K19" s="53"/>
      <c r="L19" s="53"/>
    </row>
    <row r="20" spans="2:12" x14ac:dyDescent="0.25">
      <c r="B20" s="46">
        <v>4</v>
      </c>
      <c r="C20" s="47">
        <v>7</v>
      </c>
      <c r="D20" s="48" t="str">
        <f t="shared" si="1"/>
        <v>G</v>
      </c>
      <c r="E20" s="47">
        <v>9</v>
      </c>
      <c r="F20" s="48" t="str">
        <f t="shared" si="2"/>
        <v>I</v>
      </c>
      <c r="G20" s="47">
        <v>4</v>
      </c>
    </row>
    <row r="21" spans="2:12" x14ac:dyDescent="0.25">
      <c r="B21" s="46">
        <v>1</v>
      </c>
      <c r="C21" s="47">
        <v>8</v>
      </c>
      <c r="D21" s="48" t="str">
        <f t="shared" si="1"/>
        <v>H</v>
      </c>
      <c r="E21" s="47">
        <v>6</v>
      </c>
      <c r="F21" s="48" t="str">
        <f t="shared" si="2"/>
        <v>F</v>
      </c>
      <c r="G21" s="47">
        <v>3</v>
      </c>
    </row>
    <row r="22" spans="2:12" x14ac:dyDescent="0.25">
      <c r="B22" s="46">
        <v>2</v>
      </c>
      <c r="C22" s="47">
        <v>8</v>
      </c>
      <c r="D22" s="48" t="str">
        <f t="shared" si="1"/>
        <v>H</v>
      </c>
      <c r="E22" s="47">
        <v>10</v>
      </c>
      <c r="F22" s="48" t="str">
        <f t="shared" si="2"/>
        <v>J</v>
      </c>
      <c r="G22" s="47">
        <v>2</v>
      </c>
    </row>
    <row r="23" spans="2:12" x14ac:dyDescent="0.25">
      <c r="B23" s="46">
        <v>3</v>
      </c>
      <c r="C23" s="47">
        <v>9</v>
      </c>
      <c r="D23" s="48" t="str">
        <f t="shared" si="1"/>
        <v>I</v>
      </c>
      <c r="E23" s="47">
        <v>10</v>
      </c>
      <c r="F23" s="48" t="str">
        <f t="shared" si="2"/>
        <v>J</v>
      </c>
      <c r="G23" s="47">
        <v>3</v>
      </c>
    </row>
    <row r="24" spans="2:12" x14ac:dyDescent="0.25">
      <c r="B24" s="46">
        <v>9</v>
      </c>
      <c r="C24" s="47">
        <v>9</v>
      </c>
      <c r="D24" s="48" t="str">
        <f t="shared" si="1"/>
        <v>I</v>
      </c>
      <c r="E24" s="47">
        <v>11</v>
      </c>
      <c r="F24" s="48" t="str">
        <f t="shared" si="2"/>
        <v>K</v>
      </c>
      <c r="G24" s="47">
        <v>10</v>
      </c>
    </row>
    <row r="25" spans="2:12" x14ac:dyDescent="0.25">
      <c r="B25" s="46">
        <v>0</v>
      </c>
      <c r="C25" s="47">
        <v>10</v>
      </c>
      <c r="D25" s="48" t="str">
        <f t="shared" si="1"/>
        <v>J</v>
      </c>
      <c r="E25" s="47">
        <v>11</v>
      </c>
      <c r="F25" s="48" t="str">
        <f t="shared" si="2"/>
        <v>K</v>
      </c>
      <c r="G25" s="47">
        <v>3</v>
      </c>
      <c r="J25" s="54"/>
    </row>
    <row r="26" spans="2:12" x14ac:dyDescent="0.25">
      <c r="B26" s="46">
        <v>5</v>
      </c>
      <c r="C26" s="47">
        <v>10</v>
      </c>
      <c r="D26" s="48" t="str">
        <f t="shared" si="1"/>
        <v>J</v>
      </c>
      <c r="E26" s="47">
        <v>12</v>
      </c>
      <c r="F26" s="48" t="str">
        <f t="shared" si="2"/>
        <v>L</v>
      </c>
      <c r="G26" s="47">
        <v>7</v>
      </c>
    </row>
    <row r="27" spans="2:12" x14ac:dyDescent="0.25">
      <c r="B27" s="46">
        <v>9</v>
      </c>
      <c r="C27" s="47">
        <v>11</v>
      </c>
      <c r="D27" s="48" t="str">
        <f t="shared" si="1"/>
        <v>K</v>
      </c>
      <c r="E27" s="47">
        <v>12</v>
      </c>
      <c r="F27" s="48" t="str">
        <f t="shared" si="2"/>
        <v>L</v>
      </c>
      <c r="G27" s="47">
        <v>9</v>
      </c>
    </row>
    <row r="28" spans="2:12" ht="13.8" thickBot="1" x14ac:dyDescent="0.3">
      <c r="B28" s="46">
        <v>14</v>
      </c>
      <c r="C28" s="55">
        <v>12</v>
      </c>
      <c r="D28" s="48" t="str">
        <f t="shared" si="1"/>
        <v>L</v>
      </c>
      <c r="E28" s="55">
        <v>1</v>
      </c>
      <c r="F28" s="48" t="str">
        <f t="shared" si="2"/>
        <v>A</v>
      </c>
      <c r="G28" s="55">
        <v>9999</v>
      </c>
    </row>
    <row r="29" spans="2:12" ht="13.8" thickBot="1" x14ac:dyDescent="0.3">
      <c r="B29" s="53"/>
      <c r="C29" s="53"/>
      <c r="D29" s="53"/>
      <c r="E29" s="53"/>
      <c r="F29" s="53"/>
      <c r="G29" s="53"/>
    </row>
    <row r="30" spans="2:12" ht="14.4" thickTop="1" thickBot="1" x14ac:dyDescent="0.3">
      <c r="B30" s="56">
        <f>B28</f>
        <v>14</v>
      </c>
      <c r="C30" s="57" t="s">
        <v>28</v>
      </c>
      <c r="D30" s="57"/>
      <c r="E30" s="36"/>
      <c r="F30" s="36"/>
      <c r="G30" s="36"/>
    </row>
    <row r="31" spans="2:12" ht="13.8" thickTop="1" x14ac:dyDescent="0.25"/>
  </sheetData>
  <phoneticPr fontId="14" type="noConversion"/>
  <pageMargins left="0.31496062992125984" right="0.25" top="0.35433070866141736" bottom="0.35433070866141736" header="0.11811023622047245" footer="0.11811023622047245"/>
  <pageSetup scale="81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25"/>
  <sheetViews>
    <sheetView workbookViewId="0">
      <selection activeCell="F31" sqref="F31"/>
    </sheetView>
  </sheetViews>
  <sheetFormatPr defaultRowHeight="13.2" x14ac:dyDescent="0.25"/>
  <cols>
    <col min="2" max="2" width="2.6640625" style="1" customWidth="1"/>
    <col min="3" max="3" width="11" bestFit="1" customWidth="1"/>
    <col min="4" max="4" width="3" style="1" customWidth="1"/>
    <col min="5" max="5" width="11" bestFit="1" customWidth="1"/>
    <col min="6" max="7" width="7.44140625" style="1" customWidth="1"/>
    <col min="8" max="8" width="10.109375" bestFit="1" customWidth="1"/>
    <col min="9" max="9" width="4.109375" customWidth="1"/>
    <col min="10" max="10" width="2.88671875" customWidth="1"/>
    <col min="11" max="11" width="11" bestFit="1" customWidth="1"/>
    <col min="13" max="13" width="15.44140625" style="1" bestFit="1" customWidth="1"/>
  </cols>
  <sheetData>
    <row r="1" spans="1:13" ht="13.8" x14ac:dyDescent="0.25">
      <c r="A1" s="58" t="s">
        <v>29</v>
      </c>
    </row>
    <row r="5" spans="1:13" ht="13.8" thickBot="1" x14ac:dyDescent="0.3">
      <c r="A5" s="32" t="s">
        <v>30</v>
      </c>
      <c r="B5" s="32" t="s">
        <v>31</v>
      </c>
      <c r="C5" s="31"/>
      <c r="D5" s="32" t="s">
        <v>32</v>
      </c>
      <c r="E5" s="59"/>
      <c r="F5" s="32" t="s">
        <v>33</v>
      </c>
      <c r="G5" s="32" t="s">
        <v>34</v>
      </c>
      <c r="H5" s="32" t="s">
        <v>35</v>
      </c>
      <c r="J5" s="60" t="s">
        <v>36</v>
      </c>
      <c r="K5" s="61"/>
      <c r="L5" s="31" t="s">
        <v>5</v>
      </c>
      <c r="M5" s="32" t="s">
        <v>6</v>
      </c>
    </row>
    <row r="6" spans="1:13" x14ac:dyDescent="0.25">
      <c r="A6" s="62">
        <v>250</v>
      </c>
      <c r="B6" s="63">
        <v>1</v>
      </c>
      <c r="C6" s="30" t="str">
        <f>VLOOKUP(B6,$J$6:$K$18,2,0)</f>
        <v>Plant 1</v>
      </c>
      <c r="D6" s="63">
        <v>4</v>
      </c>
      <c r="E6" s="30" t="str">
        <f>VLOOKUP(D6,$J$6:$K$18,2,0)</f>
        <v>Plant 1 out</v>
      </c>
      <c r="F6" s="63">
        <v>150</v>
      </c>
      <c r="G6" s="63">
        <v>999</v>
      </c>
      <c r="H6" s="64">
        <v>13</v>
      </c>
      <c r="J6" s="63">
        <v>1</v>
      </c>
      <c r="K6" s="65" t="s">
        <v>37</v>
      </c>
      <c r="L6" s="66">
        <f>SUMIF($D$6:$D$22,J6,$A$6:$A$22)-SUMIF($B$6:$B$22,J6,$A$6:$A$22)</f>
        <v>-250</v>
      </c>
      <c r="M6" s="63">
        <v>-400</v>
      </c>
    </row>
    <row r="7" spans="1:13" x14ac:dyDescent="0.25">
      <c r="A7" s="62">
        <v>150</v>
      </c>
      <c r="B7" s="63">
        <v>2</v>
      </c>
      <c r="C7" s="30" t="str">
        <f t="shared" ref="C7:C22" si="0">VLOOKUP(B7,$J$6:$K$18,2,0)</f>
        <v>Plant 2</v>
      </c>
      <c r="D7" s="63">
        <v>5</v>
      </c>
      <c r="E7" s="30" t="str">
        <f t="shared" ref="E7:E22" si="1">VLOOKUP(D7,$J$6:$K$18,2,0)</f>
        <v>Plant 2 out</v>
      </c>
      <c r="F7" s="63">
        <v>150</v>
      </c>
      <c r="G7" s="63">
        <v>999</v>
      </c>
      <c r="H7" s="64">
        <v>15</v>
      </c>
      <c r="J7" s="63">
        <v>2</v>
      </c>
      <c r="K7" s="65" t="s">
        <v>38</v>
      </c>
      <c r="L7" s="66">
        <f>SUMIF($D$6:$D$22,J7,$A$6:$A$22)-SUMIF($B$6:$B$22,J7,$A$6:$A$22)</f>
        <v>-150</v>
      </c>
      <c r="M7" s="63">
        <v>-300</v>
      </c>
    </row>
    <row r="8" spans="1:13" x14ac:dyDescent="0.25">
      <c r="A8" s="62">
        <v>600</v>
      </c>
      <c r="B8" s="63">
        <v>3</v>
      </c>
      <c r="C8" s="30" t="str">
        <f t="shared" si="0"/>
        <v>Plant 3</v>
      </c>
      <c r="D8" s="63">
        <v>6</v>
      </c>
      <c r="E8" s="30" t="str">
        <f t="shared" si="1"/>
        <v>Plant 3 out</v>
      </c>
      <c r="F8" s="63">
        <v>150</v>
      </c>
      <c r="G8" s="63">
        <v>999</v>
      </c>
      <c r="H8" s="64">
        <v>12</v>
      </c>
      <c r="J8" s="63">
        <v>3</v>
      </c>
      <c r="K8" s="65" t="s">
        <v>39</v>
      </c>
      <c r="L8" s="66">
        <f t="shared" ref="L8:L18" si="2">SUMIF($D$6:$D$22,J8,$A$6:$A$22)-SUMIF($B$6:$B$22,J8,$A$6:$A$22)</f>
        <v>-600</v>
      </c>
      <c r="M8" s="63">
        <v>-600</v>
      </c>
    </row>
    <row r="9" spans="1:13" x14ac:dyDescent="0.25">
      <c r="A9" s="62">
        <v>0</v>
      </c>
      <c r="B9" s="63">
        <v>4</v>
      </c>
      <c r="C9" s="30" t="str">
        <f t="shared" si="0"/>
        <v>Plant 1 out</v>
      </c>
      <c r="D9" s="63">
        <v>7</v>
      </c>
      <c r="E9" s="30" t="str">
        <f t="shared" si="1"/>
        <v>Whse 1 in</v>
      </c>
      <c r="F9" s="63">
        <v>0</v>
      </c>
      <c r="G9" s="63">
        <v>999</v>
      </c>
      <c r="H9" s="64">
        <v>4</v>
      </c>
      <c r="J9" s="63">
        <v>4</v>
      </c>
      <c r="K9" s="30" t="s">
        <v>40</v>
      </c>
      <c r="L9" s="66">
        <f t="shared" si="2"/>
        <v>0</v>
      </c>
      <c r="M9" s="63">
        <v>0</v>
      </c>
    </row>
    <row r="10" spans="1:13" x14ac:dyDescent="0.25">
      <c r="A10" s="62">
        <v>250</v>
      </c>
      <c r="B10" s="63">
        <v>4</v>
      </c>
      <c r="C10" s="30" t="str">
        <f t="shared" si="0"/>
        <v>Plant 1 out</v>
      </c>
      <c r="D10" s="63">
        <v>8</v>
      </c>
      <c r="E10" s="30" t="str">
        <f t="shared" si="1"/>
        <v>Whse 2 in</v>
      </c>
      <c r="F10" s="63">
        <v>0</v>
      </c>
      <c r="G10" s="63">
        <v>999</v>
      </c>
      <c r="H10" s="64">
        <v>5</v>
      </c>
      <c r="J10" s="63">
        <v>5</v>
      </c>
      <c r="K10" s="65" t="s">
        <v>41</v>
      </c>
      <c r="L10" s="66">
        <f t="shared" si="2"/>
        <v>0</v>
      </c>
      <c r="M10" s="63">
        <v>0</v>
      </c>
    </row>
    <row r="11" spans="1:13" x14ac:dyDescent="0.25">
      <c r="A11" s="62">
        <v>0</v>
      </c>
      <c r="B11" s="63">
        <v>5</v>
      </c>
      <c r="C11" s="30" t="str">
        <f t="shared" si="0"/>
        <v>Plant 2 out</v>
      </c>
      <c r="D11" s="63">
        <v>7</v>
      </c>
      <c r="E11" s="30" t="str">
        <f t="shared" si="1"/>
        <v>Whse 1 in</v>
      </c>
      <c r="F11" s="63">
        <v>0</v>
      </c>
      <c r="G11" s="63">
        <v>999</v>
      </c>
      <c r="H11" s="64">
        <v>6</v>
      </c>
      <c r="J11" s="63">
        <v>6</v>
      </c>
      <c r="K11" s="30" t="s">
        <v>42</v>
      </c>
      <c r="L11" s="66">
        <f t="shared" si="2"/>
        <v>0</v>
      </c>
      <c r="M11" s="63">
        <v>0</v>
      </c>
    </row>
    <row r="12" spans="1:13" x14ac:dyDescent="0.25">
      <c r="A12" s="62">
        <v>150</v>
      </c>
      <c r="B12" s="63">
        <v>5</v>
      </c>
      <c r="C12" s="30" t="str">
        <f t="shared" si="0"/>
        <v>Plant 2 out</v>
      </c>
      <c r="D12" s="63">
        <v>8</v>
      </c>
      <c r="E12" s="30" t="str">
        <f t="shared" si="1"/>
        <v>Whse 2 in</v>
      </c>
      <c r="F12" s="63">
        <v>0</v>
      </c>
      <c r="G12" s="63">
        <v>999</v>
      </c>
      <c r="H12" s="64">
        <v>4</v>
      </c>
      <c r="J12" s="63">
        <v>7</v>
      </c>
      <c r="K12" s="65" t="s">
        <v>43</v>
      </c>
      <c r="L12" s="66">
        <f t="shared" si="2"/>
        <v>0</v>
      </c>
      <c r="M12" s="63">
        <v>0</v>
      </c>
    </row>
    <row r="13" spans="1:13" x14ac:dyDescent="0.25">
      <c r="A13" s="62">
        <v>500</v>
      </c>
      <c r="B13" s="63">
        <v>6</v>
      </c>
      <c r="C13" s="30" t="str">
        <f t="shared" si="0"/>
        <v>Plant 3 out</v>
      </c>
      <c r="D13" s="63">
        <v>7</v>
      </c>
      <c r="E13" s="30" t="str">
        <f t="shared" si="1"/>
        <v>Whse 1 in</v>
      </c>
      <c r="F13" s="63">
        <v>0</v>
      </c>
      <c r="G13" s="63">
        <v>999</v>
      </c>
      <c r="H13" s="64">
        <v>3</v>
      </c>
      <c r="J13" s="63">
        <v>8</v>
      </c>
      <c r="K13" s="65" t="s">
        <v>44</v>
      </c>
      <c r="L13" s="66">
        <f t="shared" si="2"/>
        <v>0</v>
      </c>
      <c r="M13" s="63">
        <v>0</v>
      </c>
    </row>
    <row r="14" spans="1:13" x14ac:dyDescent="0.25">
      <c r="A14" s="62">
        <v>100</v>
      </c>
      <c r="B14" s="63">
        <v>6</v>
      </c>
      <c r="C14" s="30" t="str">
        <f t="shared" si="0"/>
        <v>Plant 3 out</v>
      </c>
      <c r="D14" s="63">
        <v>8</v>
      </c>
      <c r="E14" s="30" t="str">
        <f t="shared" si="1"/>
        <v>Whse 2 in</v>
      </c>
      <c r="F14" s="63">
        <v>0</v>
      </c>
      <c r="G14" s="63">
        <v>999</v>
      </c>
      <c r="H14" s="64">
        <v>5</v>
      </c>
      <c r="J14" s="63">
        <v>9</v>
      </c>
      <c r="K14" s="65" t="s">
        <v>45</v>
      </c>
      <c r="L14" s="66">
        <f t="shared" si="2"/>
        <v>0</v>
      </c>
      <c r="M14" s="63">
        <v>0</v>
      </c>
    </row>
    <row r="15" spans="1:13" x14ac:dyDescent="0.25">
      <c r="A15" s="62">
        <v>500</v>
      </c>
      <c r="B15" s="63">
        <v>7</v>
      </c>
      <c r="C15" s="30" t="str">
        <f t="shared" si="0"/>
        <v>Whse 1 in</v>
      </c>
      <c r="D15" s="63">
        <v>9</v>
      </c>
      <c r="E15" s="30" t="str">
        <f t="shared" si="1"/>
        <v>Whse 1 out</v>
      </c>
      <c r="F15" s="63">
        <v>0</v>
      </c>
      <c r="G15" s="63">
        <v>500</v>
      </c>
      <c r="H15" s="64">
        <v>0</v>
      </c>
      <c r="J15" s="63">
        <v>10</v>
      </c>
      <c r="K15" s="65" t="s">
        <v>46</v>
      </c>
      <c r="L15" s="66">
        <f t="shared" si="2"/>
        <v>0</v>
      </c>
      <c r="M15" s="63">
        <v>0</v>
      </c>
    </row>
    <row r="16" spans="1:13" x14ac:dyDescent="0.25">
      <c r="A16" s="62">
        <v>500</v>
      </c>
      <c r="B16" s="63">
        <v>8</v>
      </c>
      <c r="C16" s="30" t="str">
        <f t="shared" si="0"/>
        <v>Whse 2 in</v>
      </c>
      <c r="D16" s="63">
        <v>10</v>
      </c>
      <c r="E16" s="30" t="str">
        <f t="shared" si="1"/>
        <v>Whse 2 out</v>
      </c>
      <c r="F16" s="63">
        <v>0</v>
      </c>
      <c r="G16" s="63">
        <v>500</v>
      </c>
      <c r="H16" s="64">
        <v>0</v>
      </c>
      <c r="J16" s="63">
        <v>11</v>
      </c>
      <c r="K16" s="65" t="s">
        <v>47</v>
      </c>
      <c r="L16" s="66">
        <f t="shared" si="2"/>
        <v>300</v>
      </c>
      <c r="M16" s="63">
        <v>300</v>
      </c>
    </row>
    <row r="17" spans="1:13" x14ac:dyDescent="0.25">
      <c r="A17" s="62">
        <v>0</v>
      </c>
      <c r="B17" s="63">
        <v>9</v>
      </c>
      <c r="C17" s="30" t="str">
        <f t="shared" si="0"/>
        <v>Whse 1 out</v>
      </c>
      <c r="D17" s="63">
        <v>11</v>
      </c>
      <c r="E17" s="30" t="str">
        <f t="shared" si="1"/>
        <v>Dist. 1</v>
      </c>
      <c r="F17" s="63">
        <v>0</v>
      </c>
      <c r="G17" s="63">
        <v>999</v>
      </c>
      <c r="H17" s="64">
        <v>6</v>
      </c>
      <c r="J17" s="63">
        <v>12</v>
      </c>
      <c r="K17" s="65" t="s">
        <v>48</v>
      </c>
      <c r="L17" s="66">
        <f t="shared" si="2"/>
        <v>600</v>
      </c>
      <c r="M17" s="63">
        <v>600</v>
      </c>
    </row>
    <row r="18" spans="1:13" ht="13.8" thickBot="1" x14ac:dyDescent="0.3">
      <c r="A18" s="62">
        <v>500</v>
      </c>
      <c r="B18" s="63">
        <v>9</v>
      </c>
      <c r="C18" s="30" t="str">
        <f t="shared" si="0"/>
        <v>Whse 1 out</v>
      </c>
      <c r="D18" s="63">
        <v>12</v>
      </c>
      <c r="E18" s="30" t="str">
        <f t="shared" si="1"/>
        <v>Dist. 2</v>
      </c>
      <c r="F18" s="63">
        <v>0</v>
      </c>
      <c r="G18" s="63">
        <v>999</v>
      </c>
      <c r="H18" s="64">
        <v>4</v>
      </c>
      <c r="J18" s="32">
        <v>13</v>
      </c>
      <c r="K18" s="60" t="s">
        <v>49</v>
      </c>
      <c r="L18" s="67">
        <f t="shared" si="2"/>
        <v>100</v>
      </c>
      <c r="M18" s="68">
        <v>100</v>
      </c>
    </row>
    <row r="19" spans="1:13" x14ac:dyDescent="0.25">
      <c r="A19" s="69">
        <v>0</v>
      </c>
      <c r="B19" s="63">
        <v>9</v>
      </c>
      <c r="C19" s="30" t="str">
        <f t="shared" si="0"/>
        <v>Whse 1 out</v>
      </c>
      <c r="D19" s="63">
        <v>13</v>
      </c>
      <c r="E19" s="30" t="str">
        <f t="shared" si="1"/>
        <v>Dist. 3</v>
      </c>
      <c r="F19" s="63">
        <v>0</v>
      </c>
      <c r="G19" s="63">
        <v>999</v>
      </c>
      <c r="H19" s="64">
        <v>3</v>
      </c>
      <c r="J19" s="70"/>
      <c r="K19" s="71"/>
      <c r="L19" s="72"/>
      <c r="M19" s="70"/>
    </row>
    <row r="20" spans="1:13" x14ac:dyDescent="0.25">
      <c r="A20" s="69">
        <v>300</v>
      </c>
      <c r="B20" s="63">
        <v>10</v>
      </c>
      <c r="C20" s="30" t="str">
        <f t="shared" si="0"/>
        <v>Whse 2 out</v>
      </c>
      <c r="D20" s="63">
        <v>11</v>
      </c>
      <c r="E20" s="30" t="str">
        <f t="shared" si="1"/>
        <v>Dist. 1</v>
      </c>
      <c r="F20" s="63">
        <v>0</v>
      </c>
      <c r="G20" s="63">
        <v>999</v>
      </c>
      <c r="H20" s="64">
        <v>3</v>
      </c>
      <c r="J20" s="70"/>
      <c r="K20" s="71"/>
      <c r="L20" s="72"/>
      <c r="M20" s="70"/>
    </row>
    <row r="21" spans="1:13" x14ac:dyDescent="0.25">
      <c r="A21" s="69">
        <v>100</v>
      </c>
      <c r="B21" s="63">
        <v>10</v>
      </c>
      <c r="C21" s="30" t="str">
        <f t="shared" si="0"/>
        <v>Whse 2 out</v>
      </c>
      <c r="D21" s="63">
        <v>12</v>
      </c>
      <c r="E21" s="30" t="str">
        <f t="shared" si="1"/>
        <v>Dist. 2</v>
      </c>
      <c r="F21" s="63">
        <v>0</v>
      </c>
      <c r="G21" s="63">
        <v>999</v>
      </c>
      <c r="H21" s="64">
        <v>5</v>
      </c>
      <c r="J21" s="70"/>
      <c r="K21" s="71"/>
      <c r="L21" s="72"/>
      <c r="M21" s="70"/>
    </row>
    <row r="22" spans="1:13" ht="13.8" thickBot="1" x14ac:dyDescent="0.3">
      <c r="A22" s="73">
        <v>100</v>
      </c>
      <c r="B22" s="32">
        <v>10</v>
      </c>
      <c r="C22" s="31" t="str">
        <f t="shared" si="0"/>
        <v>Whse 2 out</v>
      </c>
      <c r="D22" s="32">
        <v>13</v>
      </c>
      <c r="E22" s="31" t="str">
        <f t="shared" si="1"/>
        <v>Dist. 3</v>
      </c>
      <c r="F22" s="32">
        <v>0</v>
      </c>
      <c r="G22" s="32">
        <v>999</v>
      </c>
      <c r="H22" s="74">
        <v>2</v>
      </c>
      <c r="L22" s="75"/>
    </row>
    <row r="23" spans="1:13" ht="13.8" thickBot="1" x14ac:dyDescent="0.3"/>
    <row r="24" spans="1:13" ht="14.4" thickTop="1" thickBot="1" x14ac:dyDescent="0.3">
      <c r="F24" s="63"/>
      <c r="G24" s="76" t="s">
        <v>50</v>
      </c>
      <c r="H24" s="77">
        <f>SUMPRODUCT(H6:H22,A6:A22)</f>
        <v>20150</v>
      </c>
    </row>
    <row r="25" spans="1:13" ht="13.8" thickTop="1" x14ac:dyDescent="0.25"/>
  </sheetData>
  <phoneticPr fontId="14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Security Alarm (Shortest Route)</vt:lpstr>
      <vt:lpstr>Liliput (Max Flow)</vt:lpstr>
      <vt:lpstr>Extra Ex</vt:lpstr>
    </vt:vector>
  </TitlesOfParts>
  <Company>Virginia 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Tutorial 4 Solution</dc:title>
  <dc:subject>Business Intelligence Modelling</dc:subject>
  <dc:creator>Mary Lim</dc:creator>
  <cp:lastModifiedBy>Poh Lim</cp:lastModifiedBy>
  <cp:lastPrinted>2009-03-31T12:19:30Z</cp:lastPrinted>
  <dcterms:created xsi:type="dcterms:W3CDTF">1996-12-10T22:33:21Z</dcterms:created>
  <dcterms:modified xsi:type="dcterms:W3CDTF">2018-08-31T04:20:20Z</dcterms:modified>
</cp:coreProperties>
</file>