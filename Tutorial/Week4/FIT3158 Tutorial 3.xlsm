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c/My Drive/Documents/Collection/2-SEM_2/FIT3158/Tutorial/Week4/"/>
    </mc:Choice>
  </mc:AlternateContent>
  <xr:revisionPtr revIDLastSave="0" documentId="13_ncr:1_{062F8B12-255A-4347-9C3D-70AA5B49A6AE}" xr6:coauthVersionLast="47" xr6:coauthVersionMax="47" xr10:uidLastSave="{00000000-0000-0000-0000-000000000000}"/>
  <bookViews>
    <workbookView xWindow="0" yWindow="0" windowWidth="28800" windowHeight="16080" activeTab="2" xr2:uid="{00000000-000D-0000-FFFF-FFFF00000000}"/>
  </bookViews>
  <sheets>
    <sheet name="SMDA" sheetId="1" state="veryHidden" r:id=""/>
    <sheet name="ElectroTech" sheetId="3" r:id="rId1"/>
    <sheet name="Sanderson" sheetId="6" r:id="rId2"/>
    <sheet name="ElectroPoly" sheetId="5" r:id="rId3"/>
  </sheets>
  <externalReferences>
    <externalReference r:id="rId4"/>
    <externalReference r:id="rId5"/>
  </externalReferences>
  <definedNames>
    <definedName name="solver_adj" localSheetId="1" hidden="1">ElectroTech!$C$4:$D$4</definedName>
    <definedName name="solver_cvg" localSheetId="3" hidden="1">0.0001</definedName>
    <definedName name="solver_cvg" localSheetId="1" hidden="1">0.0001</definedName>
    <definedName name="solver_cvg" localSheetId="2" hidden="1">0.0001</definedName>
    <definedName name="solver_drv" localSheetId="3" hidden="1">1</definedName>
    <definedName name="solver_drv" localSheetId="1" hidden="1">1</definedName>
    <definedName name="solver_drv" localSheetId="2" hidden="1">1</definedName>
    <definedName name="solver_eng" localSheetId="3" hidden="1">1</definedName>
    <definedName name="solver_eng" localSheetId="1" hidden="1">2</definedName>
    <definedName name="solver_eng" localSheetId="2" hidden="1">1</definedName>
    <definedName name="solver_est" localSheetId="3" hidden="1">1</definedName>
    <definedName name="solver_est" localSheetId="1" hidden="1">1</definedName>
    <definedName name="solver_est" localSheetId="2" hidden="1">1</definedName>
    <definedName name="solver_ibd" localSheetId="1" hidden="1">2</definedName>
    <definedName name="solver_itr" localSheetId="3" hidden="1">100</definedName>
    <definedName name="solver_itr" localSheetId="1" hidden="1">1000</definedName>
    <definedName name="solver_itr" localSheetId="2" hidden="1">100</definedName>
    <definedName name="solver_lhs1" localSheetId="1" hidden="1">ElectroTech!$C$4:$D$4</definedName>
    <definedName name="solver_lhs2" localSheetId="1" hidden="1">ElectroTech!$E$8:$E$9</definedName>
    <definedName name="solver_lin" localSheetId="3" hidden="1">2</definedName>
    <definedName name="solver_lin" localSheetId="1" hidden="1">1</definedName>
    <definedName name="solver_lin" localSheetId="2" hidden="1">2</definedName>
    <definedName name="solver_lva" localSheetId="1" hidden="1">2</definedName>
    <definedName name="solver_mip" localSheetId="1" hidden="1">1000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3" hidden="1">2</definedName>
    <definedName name="solver_neg" localSheetId="1" hidden="1">2</definedName>
    <definedName name="solver_neg" localSheetId="2" hidden="1">2</definedName>
    <definedName name="solver_nod" localSheetId="1" hidden="1">1000</definedName>
    <definedName name="solver_num" localSheetId="3" hidden="1">0</definedName>
    <definedName name="solver_num" localSheetId="1" hidden="1">2</definedName>
    <definedName name="solver_num" localSheetId="2" hidden="1">0</definedName>
    <definedName name="solver_nwt" localSheetId="3" hidden="1">1</definedName>
    <definedName name="solver_nwt" localSheetId="1" hidden="1">1</definedName>
    <definedName name="solver_nwt" localSheetId="2" hidden="1">1</definedName>
    <definedName name="solver_ofx" localSheetId="1" hidden="1">2</definedName>
    <definedName name="solver_opt" localSheetId="1" hidden="1">ElectroTech!$F$4</definedName>
    <definedName name="solver_piv" localSheetId="1" hidden="1">0.000001</definedName>
    <definedName name="solver_pre" localSheetId="3" hidden="1">0.000001</definedName>
    <definedName name="solver_pre" localSheetId="1" hidden="1">0.00000001</definedName>
    <definedName name="solver_pre" localSheetId="2" hidden="1">0.000001</definedName>
    <definedName name="solver_pro" localSheetId="1" hidden="1">2</definedName>
    <definedName name="solver_rbv" localSheetId="1" hidden="1">1</definedName>
    <definedName name="solver_red" localSheetId="1" hidden="1">0.000001</definedName>
    <definedName name="solver_rel1" localSheetId="1" hidden="1">3</definedName>
    <definedName name="solver_rel2" localSheetId="1" hidden="1">1</definedName>
    <definedName name="solver_reo" localSheetId="1" hidden="1">2</definedName>
    <definedName name="solver_rep" localSheetId="1" hidden="1">2</definedName>
    <definedName name="solver_rhs1" localSheetId="1" hidden="1">0</definedName>
    <definedName name="solver_rhs2" localSheetId="1" hidden="1">ElectroTech!$F$8:$F$9</definedName>
    <definedName name="solver_rlx" localSheetId="1" hidden="1">2</definedName>
    <definedName name="solver_rsd" localSheetId="1" hidden="1">0</definedName>
    <definedName name="solver_scl" localSheetId="3" hidden="1">2</definedName>
    <definedName name="solver_scl" localSheetId="1" hidden="1">2</definedName>
    <definedName name="solver_scl" localSheetId="2" hidden="1">2</definedName>
    <definedName name="solver_sho" localSheetId="3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td" localSheetId="3" hidden="1">1</definedName>
    <definedName name="solver_std" localSheetId="1" hidden="1">0</definedName>
    <definedName name="solver_std" localSheetId="2" hidden="1">1</definedName>
    <definedName name="solver_tim" localSheetId="3" hidden="1">100</definedName>
    <definedName name="solver_tim" localSheetId="1" hidden="1">100</definedName>
    <definedName name="solver_tim" localSheetId="2" hidden="1">100</definedName>
    <definedName name="solver_tmp" localSheetId="1" hidden="1">ElectroTech!$F$8:$F$9</definedName>
    <definedName name="solver_tol" localSheetId="3" hidden="1">0.0005</definedName>
    <definedName name="solver_tol" localSheetId="1" hidden="1">0.05</definedName>
    <definedName name="solver_tol" localSheetId="2" hidden="1">0.0005</definedName>
    <definedName name="solver_typ" localSheetId="3" hidden="1">1</definedName>
    <definedName name="solver_typ" localSheetId="1" hidden="1">1</definedName>
    <definedName name="solver_typ" localSheetId="2" hidden="1">1</definedName>
    <definedName name="solver_val" localSheetId="3" hidden="1">0</definedName>
    <definedName name="solver_val" localSheetId="1" hidden="1">0</definedName>
    <definedName name="solver_val" localSheetId="2" hidden="1">0</definedName>
    <definedName name="solver_ver" localSheetId="3" hidden="1">2</definedName>
    <definedName name="solver_ver" localSheetId="1" hidden="1">2</definedName>
    <definedName name="solver_ver" localSheetId="2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7" i="3" l="1"/>
  <c r="E18" i="5"/>
  <c r="E17" i="5"/>
  <c r="D13" i="5"/>
  <c r="C13" i="5"/>
  <c r="B13" i="5"/>
  <c r="E11" i="5"/>
  <c r="E11" i="6"/>
  <c r="E10" i="6"/>
  <c r="E9" i="6"/>
  <c r="E6" i="6"/>
  <c r="E9" i="3"/>
  <c r="E8" i="3"/>
  <c r="F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C4" authorId="0" shapeId="0" xr:uid="{00000000-0006-0000-0100-000001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D4" authorId="0" shapeId="0" xr:uid="{00000000-0006-0000-0100-000002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F4" authorId="0" shapeId="0" xr:uid="{00000000-0006-0000-0100-000003000000}">
      <text>
        <r>
          <rPr>
            <sz val="8"/>
            <color rgb="FF000000"/>
            <rFont val="Tahoma"/>
            <family val="2"/>
          </rPr>
          <t>Set cell</t>
        </r>
      </text>
    </comment>
    <comment ref="E8" authorId="0" shapeId="0" xr:uid="{00000000-0006-0000-0100-000004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E9" authorId="0" shapeId="0" xr:uid="{00000000-0006-0000-0100-000005000000}">
      <text>
        <r>
          <rPr>
            <sz val="8"/>
            <color rgb="FF000000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C5" authorId="0" shapeId="0" xr:uid="{00000000-0006-0000-02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5" authorId="0" shapeId="0" xr:uid="{00000000-0006-0000-0200-000002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E6" authorId="0" shapeId="0" xr:uid="{00000000-0006-0000-0200-000003000000}">
      <text>
        <r>
          <rPr>
            <sz val="8"/>
            <color indexed="81"/>
            <rFont val="Tahoma"/>
            <family val="2"/>
          </rPr>
          <t>Set cell</t>
        </r>
      </text>
    </comment>
    <comment ref="E9" authorId="0" shapeId="0" xr:uid="{00000000-0006-0000-02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0" authorId="0" shapeId="0" xr:uid="{00000000-0006-0000-0200-000005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1" authorId="0" shapeId="0" xr:uid="{00000000-0006-0000-0200-000006000000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6" authorId="0" shapeId="0" xr:uid="{00000000-0006-0000-03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C6" authorId="0" shapeId="0" xr:uid="{00000000-0006-0000-03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 xr:uid="{00000000-0006-0000-03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7" authorId="0" shapeId="0" xr:uid="{00000000-0006-0000-0300-00000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C7" authorId="0" shapeId="0" xr:uid="{00000000-0006-0000-03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7" authorId="0" shapeId="0" xr:uid="{00000000-0006-0000-0300-00000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 xr:uid="{00000000-0006-0000-0300-000007000000}">
      <text>
        <r>
          <rPr>
            <sz val="8"/>
            <color indexed="81"/>
            <rFont val="Tahoma"/>
            <family val="2"/>
          </rPr>
          <t>Set cell</t>
        </r>
      </text>
    </comment>
    <comment ref="B13" authorId="0" shapeId="0" xr:uid="{00000000-0006-0000-0300-000008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3" authorId="0" shapeId="0" xr:uid="{00000000-0006-0000-0300-000009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3" authorId="0" shapeId="0" xr:uid="{00000000-0006-0000-0300-00000A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7" authorId="0" shapeId="0" xr:uid="{00000000-0006-0000-0300-00000B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8" authorId="0" shapeId="0" xr:uid="{00000000-0006-0000-0300-00000C000000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<sst xmlns="http://schemas.openxmlformats.org/spreadsheetml/2006/main" count="38" uniqueCount="31">
  <si>
    <t>Generators</t>
  </si>
  <si>
    <t>Alternators</t>
  </si>
  <si>
    <t>Total Profit</t>
  </si>
  <si>
    <t>Number to produce</t>
  </si>
  <si>
    <t>Profit per Unit</t>
  </si>
  <si>
    <t>Used</t>
  </si>
  <si>
    <t>Available</t>
  </si>
  <si>
    <t>Wiring</t>
  </si>
  <si>
    <t>Testing</t>
  </si>
  <si>
    <t>Doors</t>
  </si>
  <si>
    <t>Windows</t>
  </si>
  <si>
    <t>Qty</t>
  </si>
  <si>
    <t>Profit</t>
  </si>
  <si>
    <t>Cutting</t>
  </si>
  <si>
    <t>Sanding</t>
  </si>
  <si>
    <t>Finishing</t>
  </si>
  <si>
    <t xml:space="preserve"> ------- Slip Ring -------</t>
  </si>
  <si>
    <t>Number to</t>
  </si>
  <si>
    <t>Model 1</t>
  </si>
  <si>
    <t>Model 2</t>
  </si>
  <si>
    <t>Model 3</t>
  </si>
  <si>
    <t xml:space="preserve">  - Make    </t>
  </si>
  <si>
    <t xml:space="preserve">  - Buy</t>
  </si>
  <si>
    <t>Cost to</t>
  </si>
  <si>
    <t>Total Cost</t>
  </si>
  <si>
    <t># Available</t>
  </si>
  <si>
    <t># Needed</t>
  </si>
  <si>
    <t>Hours Required</t>
  </si>
  <si>
    <t xml:space="preserve"> Used</t>
  </si>
  <si>
    <t xml:space="preserve">  - Wiring</t>
  </si>
  <si>
    <t xml:space="preserve">  - Harnessing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</si>
</sst>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6" formatCode="&quot;$&quot;#,##0_);[Red]\(&quot;$&quot;#,##0\)"/>
    <numFmt numFmtId="164" formatCode="General_)"/>
    <numFmt numFmtId="165" formatCode="&quot;$&quot;#,##0"/>
  </numFmts>
  <fonts count="14" x14ac:knownFonts="1">
    <font>
      <sz val="10"/>
      <name val="Arial"/>
    </font>
    <font>
      <b/>
      <sz val="10"/>
      <name val="Arial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b/>
      <sz val="12"/>
      <color indexed="17"/>
      <name val="Arial"/>
      <family val="2"/>
    </font>
    <font>
      <b/>
      <sz val="12"/>
      <color indexed="12"/>
      <name val="Arial"/>
      <family val="2"/>
    </font>
    <font>
      <b/>
      <sz val="12"/>
      <color indexed="10"/>
      <name val="Arial"/>
      <family val="2"/>
    </font>
    <font>
      <sz val="10"/>
      <name val="Arial"/>
      <family val="2"/>
    </font>
    <font>
      <sz val="10"/>
      <color indexed="12"/>
      <name val="Courier"/>
      <family val="3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6" fontId="1" fillId="0" borderId="0" xfId="0" applyNumberFormat="1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6" fontId="5" fillId="2" borderId="2" xfId="0" applyNumberFormat="1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3" borderId="1" xfId="0" applyFont="1" applyFill="1" applyBorder="1" applyAlignment="1">
      <alignment horizontal="center"/>
    </xf>
    <xf numFmtId="165" fontId="7" fillId="0" borderId="0" xfId="0" applyNumberFormat="1" applyFont="1" applyAlignment="1">
      <alignment horizontal="center"/>
    </xf>
    <xf numFmtId="165" fontId="9" fillId="3" borderId="2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Continuous"/>
    </xf>
    <xf numFmtId="0" fontId="2" fillId="0" borderId="0" xfId="0" applyFont="1" applyAlignment="1">
      <alignment horizontal="centerContinuous"/>
    </xf>
    <xf numFmtId="164" fontId="12" fillId="0" borderId="0" xfId="0" applyNumberFormat="1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centerContinuous"/>
    </xf>
    <xf numFmtId="164" fontId="0" fillId="0" borderId="0" xfId="0" applyNumberFormat="1" applyProtection="1"/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5" fillId="0" borderId="0" xfId="0" applyFont="1" applyFill="1" applyBorder="1" applyAlignment="1">
      <alignment horizontal="center"/>
    </xf>
    <xf numFmtId="37" fontId="4" fillId="2" borderId="1" xfId="0" applyNumberFormat="1" applyFont="1" applyFill="1" applyBorder="1" applyAlignment="1" applyProtection="1">
      <alignment horizontal="center"/>
    </xf>
    <xf numFmtId="0" fontId="11" fillId="0" borderId="0" xfId="0" applyFont="1" applyAlignment="1">
      <alignment horizontal="center"/>
    </xf>
    <xf numFmtId="5" fontId="1" fillId="0" borderId="0" xfId="0" applyNumberFormat="1" applyFont="1" applyAlignment="1" applyProtection="1">
      <alignment horizontal="center"/>
    </xf>
    <xf numFmtId="5" fontId="5" fillId="2" borderId="2" xfId="0" applyNumberFormat="1" applyFont="1" applyFill="1" applyBorder="1" applyAlignment="1" applyProtection="1">
      <alignment horizontal="center"/>
    </xf>
    <xf numFmtId="37" fontId="6" fillId="2" borderId="3" xfId="0" applyNumberFormat="1" applyFont="1" applyFill="1" applyBorder="1" applyAlignment="1" applyProtection="1">
      <alignment horizontal="center"/>
    </xf>
    <xf numFmtId="37" fontId="1" fillId="0" borderId="0" xfId="0" applyNumberFormat="1" applyFont="1" applyAlignment="1" applyProtection="1">
      <alignment horizontal="center"/>
    </xf>
    <xf numFmtId="164" fontId="12" fillId="0" borderId="0" xfId="0" applyNumberFormat="1" applyFont="1" applyProtection="1">
      <protection locked="0"/>
    </xf>
    <xf numFmtId="0" fontId="1" fillId="0" borderId="0" xfId="0" applyFont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417195</xdr:colOff>
      <xdr:row>0</xdr:row>
      <xdr:rowOff>28575</xdr:rowOff>
    </xdr:from>
    <xdr:to>
      <xdr:col>4</xdr:col>
      <xdr:colOff>443878</xdr:colOff>
      <xdr:row>1</xdr:row>
      <xdr:rowOff>104775</xdr:rowOff>
    </xdr:to>
    <xdr:sp macro="[0]!Toggle" textlink="">
      <xdr:nvSpPr>
        <xdr:cNvPr id="1026" name="Text 2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>
          <a:spLocks noChangeArrowheads="1"/>
        </xdr:cNvSpPr>
      </xdr:nvSpPr>
      <xdr:spPr bwMode="auto">
        <a:xfrm>
          <a:off x="1019175" y="28575"/>
          <a:ext cx="2238375" cy="2381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ElectroTech Corporation</a:t>
          </a:r>
        </a:p>
      </xdr:txBody>
    </xdr:sp>
    <xdr:clientData/>
  </xdr:twoCellAnchor>
  <xdr:twoCellAnchor>
    <xdr:from>
      <xdr:col>0</xdr:col>
      <xdr:colOff>419100</xdr:colOff>
      <xdr:row>10</xdr:row>
      <xdr:rowOff>131445</xdr:rowOff>
    </xdr:from>
    <xdr:to>
      <xdr:col>3</xdr:col>
      <xdr:colOff>417188</xdr:colOff>
      <xdr:row>15</xdr:row>
      <xdr:rowOff>38119</xdr:rowOff>
    </xdr:to>
    <xdr:sp macro="" textlink="">
      <xdr:nvSpPr>
        <xdr:cNvPr id="1027" name="Note">
          <a:extLs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 txBox="1">
          <a:spLocks noChangeArrowheads="1"/>
        </xdr:cNvSpPr>
      </xdr:nvSpPr>
      <xdr:spPr bwMode="auto">
        <a:xfrm>
          <a:off x="419100" y="1781175"/>
          <a:ext cx="2028825" cy="7239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F4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C4:D4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E8:E9&lt;=F8:F9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C4:D4&gt;=0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775335</xdr:colOff>
      <xdr:row>0</xdr:row>
      <xdr:rowOff>131445</xdr:rowOff>
    </xdr:from>
    <xdr:to>
      <xdr:col>4</xdr:col>
      <xdr:colOff>350507</xdr:colOff>
      <xdr:row>2</xdr:row>
      <xdr:rowOff>93345</xdr:rowOff>
    </xdr:to>
    <xdr:sp macro="[1]!Toggle" textlink="">
      <xdr:nvSpPr>
        <xdr:cNvPr id="2049" name="Text 7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rrowheads="1"/>
        </xdr:cNvSpPr>
      </xdr:nvSpPr>
      <xdr:spPr bwMode="auto">
        <a:xfrm>
          <a:off x="1362075" y="123825"/>
          <a:ext cx="2228850" cy="285750"/>
        </a:xfrm>
        <a:prstGeom prst="roundRect">
          <a:avLst>
            <a:gd name="adj" fmla="val 16667"/>
          </a:avLst>
        </a:prstGeom>
        <a:solidFill>
          <a:srgbClr val="00FFFF"/>
        </a:solidFill>
        <a:ln w="1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Sanderson Manufacturing</a:t>
          </a:r>
        </a:p>
      </xdr:txBody>
    </xdr:sp>
    <xdr:clientData/>
  </xdr:twoCellAnchor>
  <xdr:twoCellAnchor>
    <xdr:from>
      <xdr:col>1</xdr:col>
      <xdr:colOff>605790</xdr:colOff>
      <xdr:row>12</xdr:row>
      <xdr:rowOff>133350</xdr:rowOff>
    </xdr:from>
    <xdr:to>
      <xdr:col>4</xdr:col>
      <xdr:colOff>293370</xdr:colOff>
      <xdr:row>16</xdr:row>
      <xdr:rowOff>66675</xdr:rowOff>
    </xdr:to>
    <xdr:sp macro="" textlink="">
      <xdr:nvSpPr>
        <xdr:cNvPr id="2050" name="Note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ChangeArrowheads="1"/>
        </xdr:cNvSpPr>
      </xdr:nvSpPr>
      <xdr:spPr bwMode="auto">
        <a:xfrm>
          <a:off x="1200150" y="2419350"/>
          <a:ext cx="2333625" cy="581025"/>
        </a:xfrm>
        <a:prstGeom prst="rect">
          <a:avLst/>
        </a:prstGeom>
        <a:solidFill>
          <a:srgbClr val="FFFF00"/>
        </a:solidFill>
        <a:ln w="1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E6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C5:D5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E9:E11&lt;=E9:E11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C5:D5&gt;=0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57150</xdr:rowOff>
    </xdr:from>
    <xdr:to>
      <xdr:col>3</xdr:col>
      <xdr:colOff>596311</xdr:colOff>
      <xdr:row>2</xdr:row>
      <xdr:rowOff>66675</xdr:rowOff>
    </xdr:to>
    <xdr:sp macro="[2]!Toggle" textlink="">
      <xdr:nvSpPr>
        <xdr:cNvPr id="3073" name="Text 1">
          <a:extLst>
            <a:ext uri="{FF2B5EF4-FFF2-40B4-BE49-F238E27FC236}">
              <a16:creationId xmlns:a16="http://schemas.microsoft.com/office/drawing/2014/main" id="{00000000-0008-0000-0300-0000010C0000}"/>
            </a:ext>
          </a:extLst>
        </xdr:cNvPr>
        <xdr:cNvSpPr>
          <a:spLocks noChangeArrowheads="1"/>
        </xdr:cNvSpPr>
      </xdr:nvSpPr>
      <xdr:spPr bwMode="auto">
        <a:xfrm>
          <a:off x="1143000" y="57150"/>
          <a:ext cx="1876425" cy="3524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Electro-Poly Corporation</a:t>
          </a:r>
        </a:p>
      </xdr:txBody>
    </xdr:sp>
    <xdr:clientData/>
  </xdr:twoCellAnchor>
  <xdr:twoCellAnchor>
    <xdr:from>
      <xdr:col>1</xdr:col>
      <xdr:colOff>312420</xdr:colOff>
      <xdr:row>20</xdr:row>
      <xdr:rowOff>0</xdr:rowOff>
    </xdr:from>
    <xdr:to>
      <xdr:col>4</xdr:col>
      <xdr:colOff>558171</xdr:colOff>
      <xdr:row>25</xdr:row>
      <xdr:rowOff>19050</xdr:rowOff>
    </xdr:to>
    <xdr:sp macro="" textlink="">
      <xdr:nvSpPr>
        <xdr:cNvPr id="3074" name="Note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SpPr txBox="1">
          <a:spLocks noChangeArrowheads="1"/>
        </xdr:cNvSpPr>
      </xdr:nvSpPr>
      <xdr:spPr bwMode="auto">
        <a:xfrm>
          <a:off x="1314450" y="3295650"/>
          <a:ext cx="2381250" cy="8286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E11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B6:D7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B13:D13&gt;=B14:D14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E17:E18&lt;=F17:F18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B6:D7&gt;=0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d.monash.edu/home/User081/phlee/Documents/2018/FIT3158/Tutorial/Week%204/Prb04_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.monash.edu/home/User081/phlee/Documents/2018/FIT3158/Tutorial/Week%204/Prb04_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nderson"/>
      <sheetName val="Sensitivity Report 1"/>
      <sheetName val="SMDA"/>
      <sheetName val="Prb04_10"/>
    </sheetNames>
    <definedNames>
      <definedName name="Toggle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Make vs. Buy Report"/>
      <sheetName val="Sensitivity Report 1"/>
      <sheetName val="Prb04_11"/>
    </sheetNames>
    <definedNames>
      <definedName name="Toggle"/>
    </definedNames>
    <sheetDataSet>
      <sheetData sheetId="0" refreshError="1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F17"/>
  <sheetViews>
    <sheetView zoomScale="166" workbookViewId="0">
      <selection activeCell="H10" sqref="H10"/>
    </sheetView>
  </sheetViews>
  <sheetFormatPr baseColWidth="10" defaultColWidth="8.83203125" defaultRowHeight="13" x14ac:dyDescent="0.15"/>
  <cols>
    <col min="2" max="2" width="9.83203125" customWidth="1"/>
    <col min="3" max="3" width="11.5" customWidth="1"/>
    <col min="4" max="4" width="11.83203125" customWidth="1"/>
    <col min="5" max="5" width="10.5" customWidth="1"/>
    <col min="6" max="6" width="11.5" customWidth="1"/>
  </cols>
  <sheetData>
    <row r="1" spans="2:6" x14ac:dyDescent="0.15">
      <c r="C1" s="1"/>
      <c r="D1" s="1"/>
    </row>
    <row r="3" spans="2:6" ht="14" thickBot="1" x14ac:dyDescent="0.2">
      <c r="C3" s="3" t="s">
        <v>0</v>
      </c>
      <c r="D3" s="3" t="s">
        <v>1</v>
      </c>
      <c r="E3" s="4"/>
      <c r="F3" s="4" t="s">
        <v>2</v>
      </c>
    </row>
    <row r="4" spans="2:6" ht="15" thickTop="1" thickBot="1" x14ac:dyDescent="0.2">
      <c r="B4" s="5" t="s">
        <v>3</v>
      </c>
      <c r="C4" s="7">
        <v>130</v>
      </c>
      <c r="D4" s="7">
        <v>0</v>
      </c>
      <c r="F4" s="8">
        <f>SUMPRODUCT(C4:D4,C5:D5)</f>
        <v>32500</v>
      </c>
    </row>
    <row r="5" spans="2:6" ht="14" thickTop="1" x14ac:dyDescent="0.15">
      <c r="B5" s="5" t="s">
        <v>4</v>
      </c>
      <c r="C5" s="6">
        <v>250</v>
      </c>
      <c r="D5" s="6">
        <v>150</v>
      </c>
    </row>
    <row r="6" spans="2:6" x14ac:dyDescent="0.15">
      <c r="B6" s="4"/>
      <c r="C6" s="2"/>
      <c r="D6" s="2"/>
    </row>
    <row r="7" spans="2:6" x14ac:dyDescent="0.15">
      <c r="B7" s="5" t="s">
        <v>27</v>
      </c>
      <c r="C7" s="2"/>
      <c r="D7" s="2"/>
      <c r="E7" s="3" t="s">
        <v>5</v>
      </c>
      <c r="F7" s="3" t="s">
        <v>6</v>
      </c>
    </row>
    <row r="8" spans="2:6" x14ac:dyDescent="0.15">
      <c r="B8" s="5" t="s">
        <v>7</v>
      </c>
      <c r="C8" s="3">
        <v>2</v>
      </c>
      <c r="D8" s="3">
        <v>3</v>
      </c>
      <c r="E8" s="9">
        <f>SUMPRODUCT($C$4:$D$4,C8:D8)</f>
        <v>260</v>
      </c>
      <c r="F8" s="3">
        <v>260</v>
      </c>
    </row>
    <row r="9" spans="2:6" x14ac:dyDescent="0.15">
      <c r="B9" s="5" t="s">
        <v>8</v>
      </c>
      <c r="C9" s="3">
        <v>1</v>
      </c>
      <c r="D9" s="3">
        <v>2</v>
      </c>
      <c r="E9" s="9">
        <f>SUMPRODUCT($C$4:$D$4,C9:D9)</f>
        <v>130</v>
      </c>
      <c r="F9" s="3">
        <v>140</v>
      </c>
    </row>
    <row r="17" spans="5:5" x14ac:dyDescent="0.15">
      <c r="E17">
        <f>(1-(25/150))*225</f>
        <v>187.5</v>
      </c>
    </row>
  </sheetData>
  <phoneticPr fontId="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4:F11"/>
  <sheetViews>
    <sheetView tabSelected="1" zoomScale="175" workbookViewId="0"/>
  </sheetViews>
  <sheetFormatPr baseColWidth="10" defaultColWidth="8.83203125" defaultRowHeight="13" x14ac:dyDescent="0.15"/>
  <cols>
    <col min="2" max="2" width="18.83203125" bestFit="1" customWidth="1"/>
    <col min="3" max="3" width="9.33203125" customWidth="1"/>
    <col min="4" max="4" width="11.5" bestFit="1" customWidth="1"/>
    <col min="5" max="5" width="14" customWidth="1"/>
    <col min="6" max="6" width="12.5" customWidth="1"/>
  </cols>
  <sheetData>
    <row r="4" spans="2:6" ht="16" x14ac:dyDescent="0.2">
      <c r="B4" s="11"/>
      <c r="C4" s="12" t="s">
        <v>9</v>
      </c>
      <c r="D4" s="12" t="s">
        <v>10</v>
      </c>
      <c r="E4" s="12"/>
      <c r="F4" s="12"/>
    </row>
    <row r="5" spans="2:6" ht="17" thickBot="1" x14ac:dyDescent="0.25">
      <c r="B5" s="11" t="s">
        <v>11</v>
      </c>
      <c r="C5" s="13"/>
      <c r="D5" s="13"/>
      <c r="E5" s="12"/>
      <c r="F5" s="12"/>
    </row>
    <row r="6" spans="2:6" ht="18" thickTop="1" thickBot="1" x14ac:dyDescent="0.25">
      <c r="B6" s="11" t="s">
        <v>12</v>
      </c>
      <c r="C6" s="14">
        <v>500</v>
      </c>
      <c r="D6" s="14">
        <v>400</v>
      </c>
      <c r="E6" s="15">
        <f>SUMPRODUCT(C6:D6,$C$5:$D$5)</f>
        <v>0</v>
      </c>
      <c r="F6" s="12"/>
    </row>
    <row r="7" spans="2:6" ht="17" thickTop="1" x14ac:dyDescent="0.2">
      <c r="B7" s="11"/>
      <c r="C7" s="12"/>
      <c r="D7" s="12"/>
      <c r="E7" s="12"/>
      <c r="F7" s="12"/>
    </row>
    <row r="8" spans="2:6" ht="16" x14ac:dyDescent="0.2">
      <c r="B8" s="11" t="s">
        <v>27</v>
      </c>
      <c r="C8" s="12"/>
      <c r="D8" s="12"/>
      <c r="E8" s="12" t="s">
        <v>5</v>
      </c>
      <c r="F8" s="12" t="s">
        <v>6</v>
      </c>
    </row>
    <row r="9" spans="2:6" ht="16" x14ac:dyDescent="0.2">
      <c r="B9" s="11" t="s">
        <v>13</v>
      </c>
      <c r="C9" s="12">
        <v>1</v>
      </c>
      <c r="D9" s="16">
        <v>0.5</v>
      </c>
      <c r="E9" s="17">
        <f>SUMPRODUCT(C9:D9,$C$5:$D$5)</f>
        <v>0</v>
      </c>
      <c r="F9" s="12">
        <v>40</v>
      </c>
    </row>
    <row r="10" spans="2:6" ht="16" x14ac:dyDescent="0.2">
      <c r="B10" s="11" t="s">
        <v>14</v>
      </c>
      <c r="C10" s="12">
        <v>0.5</v>
      </c>
      <c r="D10" s="16">
        <v>0.75</v>
      </c>
      <c r="E10" s="17">
        <f>SUMPRODUCT(C10:D10,$C$5:$D$5)</f>
        <v>0</v>
      </c>
      <c r="F10" s="12">
        <v>40</v>
      </c>
    </row>
    <row r="11" spans="2:6" ht="16" x14ac:dyDescent="0.2">
      <c r="B11" s="11" t="s">
        <v>15</v>
      </c>
      <c r="C11" s="12">
        <v>0.5</v>
      </c>
      <c r="D11" s="16">
        <v>1</v>
      </c>
      <c r="E11" s="17">
        <f>SUMPRODUCT(C11:D11,$C$5:$D$5)</f>
        <v>0</v>
      </c>
      <c r="F11" s="12">
        <v>60</v>
      </c>
    </row>
  </sheetData>
  <phoneticPr fontId="0" type="noConversion"/>
  <pageMargins left="0.75" right="0.75" top="1" bottom="1" header="0.5" footer="0.5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K19"/>
  <sheetViews>
    <sheetView workbookViewId="0"/>
  </sheetViews>
  <sheetFormatPr baseColWidth="10" defaultColWidth="9.6640625" defaultRowHeight="13" x14ac:dyDescent="0.15"/>
  <cols>
    <col min="1" max="1" width="15.1640625" bestFit="1" customWidth="1"/>
    <col min="2" max="6" width="10.6640625" customWidth="1"/>
  </cols>
  <sheetData>
    <row r="2" spans="1:11" ht="14.25" customHeight="1" x14ac:dyDescent="0.15">
      <c r="A2" s="18"/>
      <c r="B2" s="19"/>
      <c r="D2" s="20"/>
      <c r="E2" s="18"/>
      <c r="F2" s="18"/>
    </row>
    <row r="3" spans="1:11" x14ac:dyDescent="0.15">
      <c r="A3" s="18"/>
      <c r="B3" s="18"/>
      <c r="C3" s="18"/>
      <c r="D3" s="18"/>
      <c r="E3" s="18"/>
      <c r="F3" s="18"/>
      <c r="I3" s="21"/>
      <c r="J3" s="21"/>
      <c r="K3" s="21"/>
    </row>
    <row r="4" spans="1:11" x14ac:dyDescent="0.15">
      <c r="A4" s="18"/>
      <c r="B4" s="22" t="s">
        <v>16</v>
      </c>
      <c r="C4" s="20"/>
      <c r="D4" s="20"/>
      <c r="E4" s="18"/>
      <c r="F4" s="18"/>
      <c r="I4" s="23"/>
      <c r="J4" s="23"/>
      <c r="K4" s="23"/>
    </row>
    <row r="5" spans="1:11" x14ac:dyDescent="0.15">
      <c r="A5" s="24" t="s">
        <v>17</v>
      </c>
      <c r="B5" s="25" t="s">
        <v>18</v>
      </c>
      <c r="C5" s="25" t="s">
        <v>19</v>
      </c>
      <c r="D5" s="25" t="s">
        <v>20</v>
      </c>
      <c r="E5" s="18"/>
      <c r="F5" s="26"/>
      <c r="I5" s="23"/>
      <c r="J5" s="23"/>
      <c r="K5" s="23"/>
    </row>
    <row r="6" spans="1:11" x14ac:dyDescent="0.15">
      <c r="A6" s="24" t="s">
        <v>21</v>
      </c>
      <c r="B6" s="27"/>
      <c r="C6" s="27"/>
      <c r="D6" s="27"/>
      <c r="E6" s="18"/>
      <c r="F6" s="18"/>
      <c r="I6" s="23"/>
      <c r="J6" s="23"/>
      <c r="K6" s="23"/>
    </row>
    <row r="7" spans="1:11" x14ac:dyDescent="0.15">
      <c r="A7" s="24" t="s">
        <v>22</v>
      </c>
      <c r="B7" s="27"/>
      <c r="C7" s="27"/>
      <c r="D7" s="27"/>
      <c r="E7" s="18"/>
      <c r="F7" s="18"/>
      <c r="I7" s="23"/>
      <c r="J7" s="23"/>
      <c r="K7" s="23"/>
    </row>
    <row r="8" spans="1:11" x14ac:dyDescent="0.15">
      <c r="A8" s="10"/>
      <c r="B8" s="28"/>
      <c r="C8" s="28"/>
      <c r="D8" s="28"/>
      <c r="E8" s="18"/>
      <c r="F8" s="18"/>
      <c r="I8" s="23"/>
      <c r="J8" s="23"/>
      <c r="K8" s="23"/>
    </row>
    <row r="9" spans="1:11" x14ac:dyDescent="0.15">
      <c r="A9" s="24" t="s">
        <v>23</v>
      </c>
      <c r="B9" s="28"/>
      <c r="C9" s="28"/>
      <c r="D9" s="28"/>
      <c r="E9" s="18"/>
      <c r="F9" s="18"/>
      <c r="I9" s="23"/>
      <c r="J9" s="23"/>
      <c r="K9" s="23"/>
    </row>
    <row r="10" spans="1:11" ht="14" thickBot="1" x14ac:dyDescent="0.2">
      <c r="A10" s="24" t="s">
        <v>21</v>
      </c>
      <c r="B10" s="29">
        <v>50</v>
      </c>
      <c r="C10" s="29">
        <v>83</v>
      </c>
      <c r="D10" s="29">
        <v>130</v>
      </c>
      <c r="E10" s="24" t="s">
        <v>24</v>
      </c>
      <c r="G10" s="29"/>
      <c r="I10" s="21"/>
      <c r="J10" s="21"/>
      <c r="K10" s="21"/>
    </row>
    <row r="11" spans="1:11" ht="15" thickTop="1" thickBot="1" x14ac:dyDescent="0.2">
      <c r="A11" s="24" t="s">
        <v>22</v>
      </c>
      <c r="B11" s="29">
        <v>61</v>
      </c>
      <c r="C11" s="29">
        <v>97</v>
      </c>
      <c r="D11" s="29">
        <v>145</v>
      </c>
      <c r="E11" s="30">
        <f>SUMPRODUCT(B10:D11,B6:D7)</f>
        <v>0</v>
      </c>
      <c r="I11" s="23"/>
      <c r="J11" s="23"/>
      <c r="K11" s="23"/>
    </row>
    <row r="12" spans="1:11" ht="14" thickTop="1" x14ac:dyDescent="0.15">
      <c r="A12" s="10"/>
      <c r="B12" s="28"/>
      <c r="C12" s="28"/>
      <c r="D12" s="28"/>
      <c r="E12" s="18"/>
      <c r="F12" s="18"/>
      <c r="I12" s="23"/>
      <c r="J12" s="23"/>
      <c r="K12" s="23"/>
    </row>
    <row r="13" spans="1:11" x14ac:dyDescent="0.15">
      <c r="A13" s="24" t="s">
        <v>25</v>
      </c>
      <c r="B13" s="31">
        <f>B6+B7</f>
        <v>0</v>
      </c>
      <c r="C13" s="31">
        <f>C6+C7</f>
        <v>0</v>
      </c>
      <c r="D13" s="31">
        <f>D6+D7</f>
        <v>0</v>
      </c>
      <c r="E13" s="18"/>
      <c r="F13" s="18"/>
      <c r="I13" s="23"/>
      <c r="J13" s="23"/>
      <c r="K13" s="23"/>
    </row>
    <row r="14" spans="1:11" x14ac:dyDescent="0.15">
      <c r="A14" s="24" t="s">
        <v>26</v>
      </c>
      <c r="B14" s="32">
        <v>3000</v>
      </c>
      <c r="C14" s="32">
        <v>2000</v>
      </c>
      <c r="D14" s="32">
        <v>900</v>
      </c>
      <c r="E14" s="18"/>
      <c r="F14" s="18"/>
      <c r="I14" s="23"/>
      <c r="J14" s="23"/>
      <c r="K14" s="23"/>
    </row>
    <row r="15" spans="1:11" x14ac:dyDescent="0.15">
      <c r="A15" s="10"/>
      <c r="B15" s="28"/>
      <c r="C15" s="28"/>
      <c r="D15" s="28"/>
      <c r="E15" s="18"/>
      <c r="F15" s="18"/>
      <c r="I15" s="23"/>
      <c r="J15" s="23"/>
      <c r="K15" s="23"/>
    </row>
    <row r="16" spans="1:11" x14ac:dyDescent="0.15">
      <c r="A16" s="24" t="s">
        <v>27</v>
      </c>
      <c r="B16" s="28"/>
      <c r="C16" s="28"/>
      <c r="D16" s="28"/>
      <c r="E16" s="25" t="s">
        <v>28</v>
      </c>
      <c r="F16" s="25" t="s">
        <v>6</v>
      </c>
      <c r="I16" s="21"/>
      <c r="J16" s="33"/>
      <c r="K16" s="21"/>
    </row>
    <row r="17" spans="1:6" x14ac:dyDescent="0.15">
      <c r="A17" s="24" t="s">
        <v>29</v>
      </c>
      <c r="B17" s="34">
        <v>2</v>
      </c>
      <c r="C17" s="34">
        <v>1.5</v>
      </c>
      <c r="D17" s="34">
        <v>3</v>
      </c>
      <c r="E17" s="31">
        <f>SUMPRODUCT(B17:D17,$B$6:$D$6)</f>
        <v>0</v>
      </c>
      <c r="F17" s="32">
        <v>10000</v>
      </c>
    </row>
    <row r="18" spans="1:6" x14ac:dyDescent="0.15">
      <c r="A18" s="24" t="s">
        <v>30</v>
      </c>
      <c r="B18" s="34">
        <v>1</v>
      </c>
      <c r="C18" s="34">
        <v>2</v>
      </c>
      <c r="D18" s="34">
        <v>1</v>
      </c>
      <c r="E18" s="31">
        <f>SUMPRODUCT(B18:D18,$B$6:$D$6)</f>
        <v>0</v>
      </c>
      <c r="F18" s="32">
        <v>5000</v>
      </c>
    </row>
    <row r="19" spans="1:6" x14ac:dyDescent="0.15">
      <c r="A19" s="18"/>
      <c r="B19" s="18"/>
      <c r="C19" s="18"/>
      <c r="D19" s="18"/>
      <c r="E19" s="18"/>
      <c r="F19" s="18"/>
    </row>
  </sheetData>
  <phoneticPr fontId="0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ElectroTech</vt:lpstr>
      <vt:lpstr>Sanderson</vt:lpstr>
      <vt:lpstr>ElectroPoly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Poh Lim</dc:creator>
  <cp:lastModifiedBy>秦 睿</cp:lastModifiedBy>
  <dcterms:created xsi:type="dcterms:W3CDTF">1997-04-22T03:52:46Z</dcterms:created>
  <dcterms:modified xsi:type="dcterms:W3CDTF">2022-08-18T09:22:56Z</dcterms:modified>
</cp:coreProperties>
</file>